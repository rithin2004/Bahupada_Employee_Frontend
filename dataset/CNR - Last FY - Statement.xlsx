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Ledger" sheetId="2" r:id="rId1"/>
  </sheets>
  <calcPr calcId="152511"/>
</workbook>
</file>

<file path=xl/calcChain.xml><?xml version="1.0" encoding="utf-8"?>
<calcChain xmlns="http://schemas.openxmlformats.org/spreadsheetml/2006/main">
  <c r="F8" i="2" l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D352" i="2"/>
  <c r="E352" i="2"/>
  <c r="F352" i="2" l="1"/>
</calcChain>
</file>

<file path=xl/sharedStrings.xml><?xml version="1.0" encoding="utf-8"?>
<sst xmlns="http://schemas.openxmlformats.org/spreadsheetml/2006/main" count="699" uniqueCount="359">
  <si>
    <t>SRI VENKATESWARA AGENCIES</t>
  </si>
  <si>
    <t>Phone : 9032300385 E-Mail : sesha8sai@gmail.com</t>
  </si>
  <si>
    <t>CHINNI SUDHEER-ATMAKUR</t>
  </si>
  <si>
    <t>ATMAKUR</t>
  </si>
  <si>
    <t>01-04-2024 - 31-03-2025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</si>
  <si>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</si>
  <si>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</si>
  <si>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</si>
  <si>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</si>
  <si>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</si>
  <si>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</si>
  <si>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</si>
  <si>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</si>
  <si>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</si>
  <si>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A000002</t>
  </si>
  <si>
    <t>Bill No. A000021</t>
  </si>
  <si>
    <t>Bill No. A000060</t>
  </si>
  <si>
    <t>Bill No. A000118</t>
  </si>
  <si>
    <t>Bill No. A000138</t>
  </si>
  <si>
    <t>Bill No. A000233</t>
  </si>
  <si>
    <t xml:space="preserve">Rcpt      </t>
  </si>
  <si>
    <t>BY TRANSFER-NEFT*UBIN0807010*001350667255*CHINNI NAGESWARA RAO-- Ag. *A013551,*A013594,*A013618,*A013630,*A013682,*A013944,*A013857,*A013907,</t>
  </si>
  <si>
    <t>Bill No. A000278</t>
  </si>
  <si>
    <t>Bill No. A000302</t>
  </si>
  <si>
    <t>Bill No. A000318</t>
  </si>
  <si>
    <t>Bill No. A000430</t>
  </si>
  <si>
    <t>Bill No. A000586</t>
  </si>
  <si>
    <t>Bill No. A000521</t>
  </si>
  <si>
    <t>Bill No. A000567</t>
  </si>
  <si>
    <t>Ag. A000586</t>
  </si>
  <si>
    <t>Bill No. A000622</t>
  </si>
  <si>
    <t>Bill No. A000692 value 29850.00</t>
  </si>
  <si>
    <t>Bill No. A000693</t>
  </si>
  <si>
    <t>Bill No. A000816</t>
  </si>
  <si>
    <t>Bill No. A000850</t>
  </si>
  <si>
    <t>Bill No. A000875</t>
  </si>
  <si>
    <t>Bill No. A000983</t>
  </si>
  <si>
    <t>Bill No. A000990</t>
  </si>
  <si>
    <t>UPI-SANA SRINIVASULU-SRINIVASULUREDDY22421@YBL-HDFC0004300-449749893182-PAYM Ag. *A013917,A000002,A000021,A000060,A000118,A000138,A000233</t>
  </si>
  <si>
    <t>UPI-SANA SRINIVASULU-SRINIVASULUREDDY22421@YBL-HDFC0004300-449788257958-PAYM Ag. A000233,A000278</t>
  </si>
  <si>
    <t>Bill No. A001311</t>
  </si>
  <si>
    <t>Bill No. A001523</t>
  </si>
  <si>
    <t>Bill No. A001524</t>
  </si>
  <si>
    <t>UPI-ABDUL JAHEED SHAIK-7013378663@IBL-SBIN0005815-450822060265-PAYMENT FROM Ag. A000278,A000302</t>
  </si>
  <si>
    <t>Bill No. A001607</t>
  </si>
  <si>
    <t>Bill No. A001608</t>
  </si>
  <si>
    <t>Bill No. A001609</t>
  </si>
  <si>
    <t>Bill No. A001614</t>
  </si>
  <si>
    <t>BY TRANSFER-UPI/CR/414389617937/MEGHAL N/HDFC/mogal.niza/Payme-- Ag. A000302,A000318,A000430,A000521,A000567,A000622</t>
  </si>
  <si>
    <t>Bill No. A001753</t>
  </si>
  <si>
    <t>Bill No. A001886</t>
  </si>
  <si>
    <t>Bill No. A001990</t>
  </si>
  <si>
    <t>UPI-SANA SRINIVASULU-SRINIVASULUREDDY22421@YBL-HDFC0004300-451826732013-PAYM Ag. A000622,A000693,A000816</t>
  </si>
  <si>
    <t>Bill No. A002101</t>
  </si>
  <si>
    <t>Bill No. A002113</t>
  </si>
  <si>
    <t>Bill No. A002166</t>
  </si>
  <si>
    <t>Bill No. A002176</t>
  </si>
  <si>
    <t>Bill No. A002190</t>
  </si>
  <si>
    <t>Bill No. A002209</t>
  </si>
  <si>
    <t>Bill No. A002227</t>
  </si>
  <si>
    <t>Bill No. A002305</t>
  </si>
  <si>
    <t>1 PC MASALA OATS SHORT Ag. A002305</t>
  </si>
  <si>
    <t>Bill No. A002419</t>
  </si>
  <si>
    <t>Ag. A001886,A001990</t>
  </si>
  <si>
    <t>BY TRANSFER-NEFT*UBIN0807010*001451661168*CHINNI NAGESWARA RAO-- Ag. A000816,A000850,A000875,A000983,A000990,A001311,A001523,A001524,A001607,</t>
  </si>
  <si>
    <t>EXPIRY OF BOTH MKSM AND CNR Ag. A001990</t>
  </si>
  <si>
    <t>Bill No. A002495</t>
  </si>
  <si>
    <t>Bill No. A002595</t>
  </si>
  <si>
    <t>Bill No. A002631</t>
  </si>
  <si>
    <t>Bill No. A002635</t>
  </si>
  <si>
    <t>Bill No. A002639</t>
  </si>
  <si>
    <t>Bill No. A002641</t>
  </si>
  <si>
    <t>Bill No. A002702</t>
  </si>
  <si>
    <t>Bill No. A002803</t>
  </si>
  <si>
    <t>Bill No. A002804</t>
  </si>
  <si>
    <t>Bill No. A002978</t>
  </si>
  <si>
    <t>Bill No. A002997</t>
  </si>
  <si>
    <t>Ag. A002978</t>
  </si>
  <si>
    <t>Bill No. A003075</t>
  </si>
  <si>
    <t>Bill No. A003094</t>
  </si>
  <si>
    <t>Bill No. A003133</t>
  </si>
  <si>
    <t>Bill No. A003277</t>
  </si>
  <si>
    <t>Bill No. A003320</t>
  </si>
  <si>
    <t>Bill No. A003377</t>
  </si>
  <si>
    <t>BY TRANSFER-UPI/CR/418631190734/MEGHAL N/HDFC/mogal.niza/Payme-- Ag. A002101,A002113,A002166</t>
  </si>
  <si>
    <t>UPI-NAGARAJU NAKKA-9866098866@AXL-SBIN0001344-455263140793-PAYMENT FROM PHO Ag. A002166,A002176,A002190,A002209,A002305,A002227</t>
  </si>
  <si>
    <t>Bill No. A003431</t>
  </si>
  <si>
    <t>UPI-SYED GOUSUNNISA WO A-SKARAMATHULLAH@YBL-UBIN0807010-455390209734-PAYMENT Ag. A002227</t>
  </si>
  <si>
    <t>UPI-SHAIK AHMAD BASHA-ABASHAIK55@YBL-ICIC0006310-455493735976-PAYMENT FROM P Ag. A002227</t>
  </si>
  <si>
    <t>Bill No. A003505</t>
  </si>
  <si>
    <t>Bill No. A003508</t>
  </si>
  <si>
    <t>Bill No. A003682</t>
  </si>
  <si>
    <t>Bill No. A003719 value 10000.00</t>
  </si>
  <si>
    <t>Bill No. A003761</t>
  </si>
  <si>
    <t>BY TRANSFER-NEFT*UBIN0807010*001506751010*CHINNI NAGESWARA RAO-- Ag. A002227,A002419,A002495,A002595,A002631,A002635,A002639,A002641,A002702,</t>
  </si>
  <si>
    <t>UPI-SHAIK HABEEB-6361789661@YBL-SBIN0004828-456079490518-PAYMENT FROM PHONE Ag. A002997,A003075,A003133,A003094</t>
  </si>
  <si>
    <t>Bill No. A003791</t>
  </si>
  <si>
    <t>Bill No. A003860</t>
  </si>
  <si>
    <t>Bill No. A003861</t>
  </si>
  <si>
    <t>Bill No. A003866</t>
  </si>
  <si>
    <t>Bill No. A003879</t>
  </si>
  <si>
    <t>Ag. A003860</t>
  </si>
  <si>
    <t>Bill No. A003926</t>
  </si>
  <si>
    <t>Bill No. A004001</t>
  </si>
  <si>
    <t>Bill No. A004054</t>
  </si>
  <si>
    <t>Bill No. A004121</t>
  </si>
  <si>
    <t>Bill No. A004482</t>
  </si>
  <si>
    <t>Bill No. A004145</t>
  </si>
  <si>
    <t>Bill No. A004191</t>
  </si>
  <si>
    <t>Ag. A003094,A003277</t>
  </si>
  <si>
    <t>Bill No. A004323</t>
  </si>
  <si>
    <t>Bill No. A004294</t>
  </si>
  <si>
    <t>Bill No. A004344</t>
  </si>
  <si>
    <t>Bill No. A004345</t>
  </si>
  <si>
    <t>Ag. A004323,A004344</t>
  </si>
  <si>
    <t>Bill No. A004359</t>
  </si>
  <si>
    <t>Bill No. A004378</t>
  </si>
  <si>
    <t>Bill No. A004387</t>
  </si>
  <si>
    <t>Bill No. A004395</t>
  </si>
  <si>
    <t>Bill No. A004402</t>
  </si>
  <si>
    <t>Bill No. A004411</t>
  </si>
  <si>
    <t>Bill No. A004484 value 12030.00</t>
  </si>
  <si>
    <t>Bill No. A004508</t>
  </si>
  <si>
    <t>Bill No. A004555</t>
  </si>
  <si>
    <t>Bill No. A004570</t>
  </si>
  <si>
    <t>Bill No. A004578</t>
  </si>
  <si>
    <t>Bill No. A004630</t>
  </si>
  <si>
    <t>Bill No. A004665</t>
  </si>
  <si>
    <t>Bill No. A004914</t>
  </si>
  <si>
    <t>Bill No. A004753</t>
  </si>
  <si>
    <t>Bill No. A004816</t>
  </si>
  <si>
    <t>Bill No. A004931</t>
  </si>
  <si>
    <t>Bill No. A005014</t>
  </si>
  <si>
    <t>Bill No. A005016</t>
  </si>
  <si>
    <t>Ag.A004931</t>
  </si>
  <si>
    <t>Bill No. A005021</t>
  </si>
  <si>
    <t>Bill No. A005084</t>
  </si>
  <si>
    <t>Bill No. A005096</t>
  </si>
  <si>
    <t>BY TRANSFER-NEFT*UBIN0807010*001561066754*CHINNI NAGESWARA RAO-- Ag. A003320,A003377,A003431,A003505,A003508,A003682,A003761,A003791,A003861</t>
  </si>
  <si>
    <t>BY TRANSFER-NEFT*UBIN0807010*001561068379*CHINNI NAGESWARA RAO-- Ag. A003861,A003866,A003879,A003926,A004001,A004054,A004121,A004482,A004387,</t>
  </si>
  <si>
    <t>Bill No. A005128</t>
  </si>
  <si>
    <t>Bill No. A005178</t>
  </si>
  <si>
    <t>Ag. A005096</t>
  </si>
  <si>
    <t>Bill No. A005202</t>
  </si>
  <si>
    <t>Bill No. A005208</t>
  </si>
  <si>
    <t>Bill No. A005288</t>
  </si>
  <si>
    <t>Bill No. A005335</t>
  </si>
  <si>
    <t>Bill No. A005460</t>
  </si>
  <si>
    <t>Bill No. A005439</t>
  </si>
  <si>
    <t>Bill No. A005506</t>
  </si>
  <si>
    <t>Bill No. A005678</t>
  </si>
  <si>
    <t>Bill No. A005758</t>
  </si>
  <si>
    <t>Bill No. A005788</t>
  </si>
  <si>
    <t>Bill No. A005911</t>
  </si>
  <si>
    <t>Bill No. A005916</t>
  </si>
  <si>
    <t>Bill No. A005928</t>
  </si>
  <si>
    <t>Bill No. A006005</t>
  </si>
  <si>
    <t>UPI-MR SANA SRINIVASULU-9912111838@YBL-IDIB000A174-461596846952-PAYMENT FROM Ag. A004570,A004630,A004914,A005016,A004753,A004816,A004578</t>
  </si>
  <si>
    <t>Bill No. A006146</t>
  </si>
  <si>
    <t>Bill No. A006152</t>
  </si>
  <si>
    <t>Bill No. A006164</t>
  </si>
  <si>
    <t>Ag. A006164</t>
  </si>
  <si>
    <t>Bill No. A006350</t>
  </si>
  <si>
    <t>Ag. A006350</t>
  </si>
  <si>
    <t>UPI-ABDUL JAHEED SHAIK-7013378663@IBL-SBIN0005815-462179485216-PAYMENT FROM Ag. A004578,A004665,A005014</t>
  </si>
  <si>
    <t>UPI-MRS KOSURI VASUNDHAR-9347539877-3@YBL-IDIB000A174-462363044423-PAYMENT F Ag. A005084,A005128</t>
  </si>
  <si>
    <t>UPI-SANA VENKATESWARALU-SANAVENKATESHREDDY@AXL-HDFC0004300-462302016882-PAYM Ag. A005014,A005021,A005084</t>
  </si>
  <si>
    <t>Bill No. A006576</t>
  </si>
  <si>
    <t>Bill No. A006650</t>
  </si>
  <si>
    <t>Ag. A005788</t>
  </si>
  <si>
    <t>BY TRANSFER-NEFT*UBIN0807010*001624366092*CHINNI NAGESWARA RAO-- Ag. A004411,A004508,A004555,A005128,A005178,A005202,A005208,A005288,A005335,</t>
  </si>
  <si>
    <t xml:space="preserve">C/n       </t>
  </si>
  <si>
    <t>C/N No. CN00030 Dt. 19-09-2024 Adj.in A005788</t>
  </si>
  <si>
    <t>Bill No. A006757</t>
  </si>
  <si>
    <t>Bill No. A006788</t>
  </si>
  <si>
    <t>Bill No. A006814</t>
  </si>
  <si>
    <t>Bill No. A006817</t>
  </si>
  <si>
    <t>Bill No. A006846</t>
  </si>
  <si>
    <t>Bill No. A006895</t>
  </si>
  <si>
    <t>Bill No. A006904</t>
  </si>
  <si>
    <t>Bill No. A006998</t>
  </si>
  <si>
    <t>Bill No. A006999</t>
  </si>
  <si>
    <t>Bill No. A007088</t>
  </si>
  <si>
    <t>C/N No. EXPIRY Ag. A005788</t>
  </si>
  <si>
    <t>Bill No. A007117</t>
  </si>
  <si>
    <t>Bill No. A007142</t>
  </si>
  <si>
    <t>Bill No. A007222 value 10150.00</t>
  </si>
  <si>
    <t>Bill No. A007285</t>
  </si>
  <si>
    <t>Bill No. A007326</t>
  </si>
  <si>
    <t>Bill No. A007421</t>
  </si>
  <si>
    <t>Bill No. A008053 value 20200.00</t>
  </si>
  <si>
    <t>Bill No. A007458</t>
  </si>
  <si>
    <t>Bill No. A007481</t>
  </si>
  <si>
    <t>Bill No. A007521</t>
  </si>
  <si>
    <t>UBINR22024100901817420 Ag. A005911,A005916,A005928,A006005,A006146,A006152,A006576,A006650,A006757,</t>
  </si>
  <si>
    <t>Bill No. A007666</t>
  </si>
  <si>
    <t>Bill No. A007672</t>
  </si>
  <si>
    <t>Bill No. A007724</t>
  </si>
  <si>
    <t>Bill No. A007735</t>
  </si>
  <si>
    <t>Ag. A007672</t>
  </si>
  <si>
    <t>Bill No. A007757</t>
  </si>
  <si>
    <t>Bill No. A007764</t>
  </si>
  <si>
    <t>Bill No. A007833</t>
  </si>
  <si>
    <t>Bill No. A007958</t>
  </si>
  <si>
    <t>Bill No. A008057</t>
  </si>
  <si>
    <t>Bill No. A008058</t>
  </si>
  <si>
    <t>Bill No. A008113</t>
  </si>
  <si>
    <t>Bill No. A008188</t>
  </si>
  <si>
    <t>Bill No. A008196</t>
  </si>
  <si>
    <t>Bill No. A008234</t>
  </si>
  <si>
    <t>Bill No. A008273</t>
  </si>
  <si>
    <t>Ag. A008273</t>
  </si>
  <si>
    <t>Bill No. A008525</t>
  </si>
  <si>
    <t>Bill No. A008530</t>
  </si>
  <si>
    <t>Bill No. A008582</t>
  </si>
  <si>
    <t>Bill No. A008589</t>
  </si>
  <si>
    <t>Bill No. A008606</t>
  </si>
  <si>
    <t>Bill No. A008656</t>
  </si>
  <si>
    <t>HDFC UTR : 394916523204 Ag. A007117,A007142,A007285,A007326,A007421</t>
  </si>
  <si>
    <t>Bill No. A008696</t>
  </si>
  <si>
    <t>Bill No. A008807</t>
  </si>
  <si>
    <t>Ag. A008807</t>
  </si>
  <si>
    <t>HDFC UTR : 168516502610 Ag. A007421,A007458,A007481,A007521,A007666</t>
  </si>
  <si>
    <t>HDFC UTR : 855149119187 Ag. A008058,A008113,A008188</t>
  </si>
  <si>
    <t>Bill No. A008896</t>
  </si>
  <si>
    <t>Bill No. A008910</t>
  </si>
  <si>
    <t>HDFC UTR : 271884383169 Ag. A007666,A007724,A007735,A007757,A007764</t>
  </si>
  <si>
    <t>Bill No. A008925</t>
  </si>
  <si>
    <t>Bill No. A009058</t>
  </si>
  <si>
    <t>HDFC UTR : 383904373936 Ag. A007764,A007833,A007958,A008057,A008058</t>
  </si>
  <si>
    <t>HDFC UTR : 891792849158 Ag. A007764</t>
  </si>
  <si>
    <t>Bill No. A009225</t>
  </si>
  <si>
    <t>Bill No. A009328</t>
  </si>
  <si>
    <t>HDFC UTR : 281555670115 Ag. A009328,A008188,A008196,A008234,A008525</t>
  </si>
  <si>
    <t>C/N No. ANNAPURNA ATTA 1 KG DAMAGE Ag. A008188</t>
  </si>
  <si>
    <t>Bill No. A009520</t>
  </si>
  <si>
    <t>Bill No. A009539</t>
  </si>
  <si>
    <t>Bill No. A009546</t>
  </si>
  <si>
    <t>Bill No. A009594</t>
  </si>
  <si>
    <t>Bill No. A009714</t>
  </si>
  <si>
    <t>Bill No. A009807</t>
  </si>
  <si>
    <t>Bill No. A009892</t>
  </si>
  <si>
    <t>Bill No. A009931</t>
  </si>
  <si>
    <t>Bill No. A009947</t>
  </si>
  <si>
    <t>Bill No. A009994</t>
  </si>
  <si>
    <t>SBI UTR : 001764974186 Ag. A008525,A008530,A008582,A008589,A008606,A008656,A008696,A008896,A008910,</t>
  </si>
  <si>
    <t>Bill No. A010328</t>
  </si>
  <si>
    <t>Bill No. A010213</t>
  </si>
  <si>
    <t>Bill No. A010216</t>
  </si>
  <si>
    <t>Bill No. A010478</t>
  </si>
  <si>
    <t>Bill No. A010505</t>
  </si>
  <si>
    <t>Bill No. A010528</t>
  </si>
  <si>
    <t>Bill No. A010688</t>
  </si>
  <si>
    <t>Bill No. A010766</t>
  </si>
  <si>
    <t>Bill No. A010855</t>
  </si>
  <si>
    <t>Bill No. A010905</t>
  </si>
  <si>
    <t>Bill No. A010910</t>
  </si>
  <si>
    <t>Bill No. A010996</t>
  </si>
  <si>
    <t>Bill No. A011032</t>
  </si>
  <si>
    <t>HDFC UTR : 627282285073 Ag. A008925,A009058,A009225,A009520,A009539</t>
  </si>
  <si>
    <t>Bill No. A011072</t>
  </si>
  <si>
    <t>Bill No. A011073</t>
  </si>
  <si>
    <t>Bill No. A011083</t>
  </si>
  <si>
    <t>Bill No. A011117</t>
  </si>
  <si>
    <t>Bill No. A011221</t>
  </si>
  <si>
    <t>Bill No. A011218</t>
  </si>
  <si>
    <t>Ag.A011032</t>
  </si>
  <si>
    <t>Bill No. A011257</t>
  </si>
  <si>
    <t>HDFC UTR : 050381692840 Ag. A009714,A009807</t>
  </si>
  <si>
    <t>HDFC UTR : 484401167565 Ag. A011221,A009539,A009546,A009594,A009714</t>
  </si>
  <si>
    <t>Bill No. A011331</t>
  </si>
  <si>
    <t>Bill No. A011336</t>
  </si>
  <si>
    <t>HDFC UTR : 128748913297 Ag. A009892,A009947,A010328,A010478,A010766,A009931</t>
  </si>
  <si>
    <t>Bill No. A011445</t>
  </si>
  <si>
    <t>Bill No. A011487</t>
  </si>
  <si>
    <t>Bill No. A011568</t>
  </si>
  <si>
    <t>Bill No. A011586</t>
  </si>
  <si>
    <t>HDFC UTR : 144387499506 Ag. A009931</t>
  </si>
  <si>
    <t>HDFC UTR : 047606027426 Ag. A009931</t>
  </si>
  <si>
    <t>HDFC UTR : 216416646814 Ag. A009931</t>
  </si>
  <si>
    <t>Bill No. A011806</t>
  </si>
  <si>
    <t>HDFC UTR : 699974454591 Ag. A009931,A009994</t>
  </si>
  <si>
    <t>HDFC UTR : 568627671427 Ag. A009994</t>
  </si>
  <si>
    <t>HDFC UTR : 807746415382 Ag. A009994,A010213</t>
  </si>
  <si>
    <t>Bill No. A012047</t>
  </si>
  <si>
    <t>Bill No. A012052</t>
  </si>
  <si>
    <t>Bill No. A012062</t>
  </si>
  <si>
    <t>Bill No. A012089</t>
  </si>
  <si>
    <t>UBINR22025011301244196 Ag. A010213,A010216,A010505,A010528,A010688,A010855,A010905,A010910,A010996,</t>
  </si>
  <si>
    <t>SBI UTR : 996308326842 Ag. A011331,A011336,A011445</t>
  </si>
  <si>
    <t>HDFC UTR : 741576361651</t>
  </si>
  <si>
    <t>Bill No. A012135</t>
  </si>
  <si>
    <t>Bill No. A012136</t>
  </si>
  <si>
    <t>Bill No. A012140</t>
  </si>
  <si>
    <t>Bill No. A012162</t>
  </si>
  <si>
    <t>Bill No. A012309</t>
  </si>
  <si>
    <t>HDFC UTR : 854013600123 Ag. A011445,A011568,A011806,A011487</t>
  </si>
  <si>
    <t>HDFC UTR : 315405740617 Ag. A011487</t>
  </si>
  <si>
    <t>Bill No. A012414</t>
  </si>
  <si>
    <t>Bill No. A012427</t>
  </si>
  <si>
    <t>Bill No. A012525</t>
  </si>
  <si>
    <t>Bill No. A012537</t>
  </si>
  <si>
    <t>HDFC UTR : 695070292409 Ag. A011487,A011586,A012047,A012052,A012062,A012089</t>
  </si>
  <si>
    <t>Bill No. A012597</t>
  </si>
  <si>
    <t>Bill No. A012707</t>
  </si>
  <si>
    <t>Bill No. A012728</t>
  </si>
  <si>
    <t>Bill No. A012840</t>
  </si>
  <si>
    <t>Bill No. A012904</t>
  </si>
  <si>
    <t>Bill No. A012963</t>
  </si>
  <si>
    <t>Bill No. A013080</t>
  </si>
  <si>
    <t>Bill No. A013144</t>
  </si>
  <si>
    <t>Bill No. A013210</t>
  </si>
  <si>
    <t>Bill No. A013351</t>
  </si>
  <si>
    <t>Bill No. A013378</t>
  </si>
  <si>
    <t>Bill No. A013386</t>
  </si>
  <si>
    <t>Bill No. A013397</t>
  </si>
  <si>
    <t>Bill No. A013445</t>
  </si>
  <si>
    <t>Bill No. A013480</t>
  </si>
  <si>
    <t>Bill No. A013481</t>
  </si>
  <si>
    <t>Bill No. A013522</t>
  </si>
  <si>
    <t>UBINR22025022701355296 Ag. A012135,A012136,A012140,A012162,A012309,A012414,A009807,A012089,A012427,</t>
  </si>
  <si>
    <t>Bill No. A013604</t>
  </si>
  <si>
    <t>Bill No. A013639</t>
  </si>
  <si>
    <t>Bill No. A013644</t>
  </si>
  <si>
    <t>Bill No. A013674</t>
  </si>
  <si>
    <t>Bill No. A013693</t>
  </si>
  <si>
    <t>Bill No. A013911</t>
  </si>
  <si>
    <t>Bill No. A013939</t>
  </si>
  <si>
    <t>Bill No. A013981</t>
  </si>
  <si>
    <t>Bill No. A013998</t>
  </si>
  <si>
    <t>Bill No. A014018</t>
  </si>
  <si>
    <t>Bill No. A014070</t>
  </si>
  <si>
    <t>Bill No. A014112</t>
  </si>
  <si>
    <t>Bill No. A014116</t>
  </si>
  <si>
    <t>Bill No. A014159</t>
  </si>
  <si>
    <t>Bill No. A014199</t>
  </si>
  <si>
    <t>HDFC UTR : 314519372145 Ag. A014159,A012707</t>
  </si>
  <si>
    <t>Bill No. A014255</t>
  </si>
  <si>
    <t>Bill No. A014267</t>
  </si>
  <si>
    <t>Bill No. A014346</t>
  </si>
  <si>
    <t>Bill No. A014443</t>
  </si>
  <si>
    <t>Bill No. A014444</t>
  </si>
  <si>
    <t>Bill No. A014469</t>
  </si>
  <si>
    <t>Bill No. A014488</t>
  </si>
  <si>
    <t>Bill No. A014493</t>
  </si>
  <si>
    <t>Bill No. A014563</t>
  </si>
  <si>
    <t>Bill No. A014570</t>
  </si>
  <si>
    <t>Bill No. A014683</t>
  </si>
  <si>
    <t>Ag.A014683</t>
  </si>
  <si>
    <t>Bill No. A014702</t>
  </si>
  <si>
    <t>Bill No. A014703</t>
  </si>
  <si>
    <t>Bill No. A014761</t>
  </si>
  <si>
    <t>HDFC UTR : 627821532499 Ag. A012707,A012963</t>
  </si>
  <si>
    <t>HDFC UTR : 735162925523 Ag. A012963</t>
  </si>
  <si>
    <t>Bill No. A014786</t>
  </si>
  <si>
    <t>Ag.A014443</t>
  </si>
  <si>
    <t>Bill No. A014857</t>
  </si>
  <si>
    <t>HDFC UTR : 574110698561 Ag. A012963,A013080,A013210,A013378,A013397,A013445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</si>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</sst>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6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5" fillId="0" borderId="0" xfId="0" applyNumberFormat="1" applyFont="1" applyFill="1" applyAlignment="1" applyProtection="1">
      <alignment horizontal="center"/>
    </xf>
    <xf numFmtId="0" fontId="4" fillId="0" borderId="0" xfId="0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5" fillId="2" borderId="0" xfId="0" applyNumberFormat="1" applyFont="1" applyFill="1" applyAlignment="1" applyProtection="1">
      <alignment horizontal="right"/>
    </xf>
    <xf numFmtId="0" fontId="5" fillId="2" borderId="0" xfId="0" applyNumberFormat="1" applyFont="1" applyFill="1" applyAlignment="1" applyProtection="1"/>
    <xf numFmtId="0" fontId="5" fillId="3" borderId="0" xfId="0" applyNumberFormat="1" applyFont="1" applyFill="1" applyAlignment="1" applyProtection="1"/>
    <xf numFmtId="2" fontId="5" fillId="3" borderId="0" xfId="0" applyNumberFormat="1" applyFont="1" applyFill="1" applyAlignment="1" applyProtection="1"/>
    <xf numFmtId="164" fontId="0" fillId="0" borderId="0" xfId="0" applyNumberFormat="1" applyFont="1" applyFill="1" applyAlignment="1" applyProtection="1"/>
    <xf numFmtId="0" fontId="0" fillId="0" borderId="0" xfId="0" applyNumberFormat="1" applyFont="1" applyFill="1" applyAlignment="1" applyProtection="1"/>
    <xf numFmtId="0" fontId="0" fillId="0" borderId="0" xfId="0" applyNumberFormat="1" applyFont="1" applyFill="1" applyAlignment="1" applyProtection="1">
      <alignment wrapText="1"/>
    </xf>
    <xf numFmtId="2" fontId="0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abSelected="1" topLeftCell="A320" workbookViewId="0">
      <selection activeCell="E351" sqref="E351"/>
    </sheetView>
  </sheetViews>
  <sheetFormatPr defaultRowHeight="15" x14ac:dyDescent="0.25"/>
  <cols>
    <col min="1" max="1" width="10.7109375" customWidth="1"/>
    <col min="2" max="2" width="5.7109375" customWidth="1"/>
    <col min="3" max="3" width="35.85546875" customWidth="1"/>
    <col min="4" max="6" width="12.7109375" customWidth="1"/>
  </cols>
  <sheetData>
    <row r="1" spans="1:6" ht="18.75" x14ac:dyDescent="0.3">
      <c r="A1" s="5" t="s">
        <v>0</v>
      </c>
      <c r="B1" s="5"/>
      <c r="C1" s="5"/>
      <c r="D1" s="5"/>
      <c r="E1" s="5"/>
      <c r="F1" s="5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ht="18.75" x14ac:dyDescent="0.3">
      <c r="A3" s="5" t="s">
        <v>2</v>
      </c>
      <c r="B3" s="5"/>
      <c r="C3" s="5"/>
      <c r="D3" s="5"/>
      <c r="E3" s="5"/>
      <c r="F3" s="5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ht="15.75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1" t="s">
        <v>5</v>
      </c>
      <c r="B6" s="1"/>
      <c r="C6" s="1"/>
      <c r="D6" s="1"/>
      <c r="E6" s="1"/>
      <c r="F6" s="1"/>
    </row>
    <row r="7" spans="1:6" x14ac:dyDescent="0.25">
      <c r="A7" s="6" t="s">
        <v>6</v>
      </c>
      <c r="B7" s="7" t="s">
        <v>7</v>
      </c>
      <c r="C7" s="7" t="s">
        <v>8</v>
      </c>
      <c r="D7" s="6" t="s">
        <v>9</v>
      </c>
      <c r="E7" s="6" t="s">
        <v>10</v>
      </c>
      <c r="F7" s="6" t="s">
        <v>11</v>
      </c>
    </row>
    <row r="8" spans="1:6" x14ac:dyDescent="0.25">
      <c r="A8" s="8"/>
      <c r="B8" s="8"/>
      <c r="C8" s="8" t="s">
        <v>12</v>
      </c>
      <c r="D8" s="9">
        <v>96388</v>
      </c>
      <c r="E8" s="8"/>
      <c r="F8" s="9">
        <f>SUM(D8-E8)</f>
        <v>96388</v>
      </c>
    </row>
    <row r="9" spans="1:6" x14ac:dyDescent="0.25">
      <c r="A9" s="10">
        <v>45383</v>
      </c>
      <c r="B9" s="11" t="s">
        <v>13</v>
      </c>
      <c r="C9" s="12" t="s">
        <v>14</v>
      </c>
      <c r="D9" s="13">
        <v>31049</v>
      </c>
      <c r="E9" s="11"/>
      <c r="F9" s="13">
        <f t="shared" ref="F9:F72" si="0">SUM(F8+D9-E9)</f>
        <v>127437</v>
      </c>
    </row>
    <row r="10" spans="1:6" x14ac:dyDescent="0.25">
      <c r="A10" s="10">
        <v>45384</v>
      </c>
      <c r="B10" s="11" t="s">
        <v>13</v>
      </c>
      <c r="C10" s="12" t="s">
        <v>15</v>
      </c>
      <c r="D10" s="13">
        <v>6027</v>
      </c>
      <c r="E10" s="11"/>
      <c r="F10" s="13">
        <f t="shared" si="0"/>
        <v>133464</v>
      </c>
    </row>
    <row r="11" spans="1:6" x14ac:dyDescent="0.25">
      <c r="A11" s="10">
        <v>45385</v>
      </c>
      <c r="B11" s="11" t="s">
        <v>13</v>
      </c>
      <c r="C11" s="12" t="s">
        <v>16</v>
      </c>
      <c r="D11" s="13">
        <v>7138</v>
      </c>
      <c r="E11" s="11"/>
      <c r="F11" s="13">
        <f t="shared" si="0"/>
        <v>140602</v>
      </c>
    </row>
    <row r="12" spans="1:6" x14ac:dyDescent="0.25">
      <c r="A12" s="10">
        <v>45386</v>
      </c>
      <c r="B12" s="11" t="s">
        <v>13</v>
      </c>
      <c r="C12" s="12" t="s">
        <v>17</v>
      </c>
      <c r="D12" s="13">
        <v>2050</v>
      </c>
      <c r="E12" s="11"/>
      <c r="F12" s="13">
        <f t="shared" si="0"/>
        <v>142652</v>
      </c>
    </row>
    <row r="13" spans="1:6" x14ac:dyDescent="0.25">
      <c r="A13" s="10">
        <v>45387</v>
      </c>
      <c r="B13" s="11" t="s">
        <v>13</v>
      </c>
      <c r="C13" s="12" t="s">
        <v>18</v>
      </c>
      <c r="D13" s="13">
        <v>15450</v>
      </c>
      <c r="E13" s="11"/>
      <c r="F13" s="13">
        <f t="shared" si="0"/>
        <v>158102</v>
      </c>
    </row>
    <row r="14" spans="1:6" x14ac:dyDescent="0.25">
      <c r="A14" s="10">
        <v>45390</v>
      </c>
      <c r="B14" s="11" t="s">
        <v>13</v>
      </c>
      <c r="C14" s="12" t="s">
        <v>19</v>
      </c>
      <c r="D14" s="13">
        <v>19825</v>
      </c>
      <c r="E14" s="11"/>
      <c r="F14" s="13">
        <f t="shared" si="0"/>
        <v>177927</v>
      </c>
    </row>
    <row r="15" spans="1:6" ht="90" x14ac:dyDescent="0.25">
      <c r="A15" s="10">
        <v>45390</v>
      </c>
      <c r="B15" s="11" t="s">
        <v>20</v>
      </c>
      <c r="C15" s="12" t="s">
        <v>21</v>
      </c>
      <c r="D15" s="11"/>
      <c r="E15" s="13">
        <v>90000</v>
      </c>
      <c r="F15" s="13">
        <f t="shared" si="0"/>
        <v>87927</v>
      </c>
    </row>
    <row r="16" spans="1:6" x14ac:dyDescent="0.25">
      <c r="A16" s="10">
        <v>45391</v>
      </c>
      <c r="B16" s="11" t="s">
        <v>13</v>
      </c>
      <c r="C16" s="12" t="s">
        <v>22</v>
      </c>
      <c r="D16" s="13">
        <v>15504</v>
      </c>
      <c r="E16" s="11"/>
      <c r="F16" s="13">
        <f t="shared" si="0"/>
        <v>103431</v>
      </c>
    </row>
    <row r="17" spans="1:6" x14ac:dyDescent="0.25">
      <c r="A17" s="10">
        <v>45392</v>
      </c>
      <c r="B17" s="11" t="s">
        <v>13</v>
      </c>
      <c r="C17" s="12" t="s">
        <v>23</v>
      </c>
      <c r="D17" s="13">
        <v>8540</v>
      </c>
      <c r="E17" s="11"/>
      <c r="F17" s="13">
        <f t="shared" si="0"/>
        <v>111971</v>
      </c>
    </row>
    <row r="18" spans="1:6" x14ac:dyDescent="0.25">
      <c r="A18" s="10">
        <v>45392</v>
      </c>
      <c r="B18" s="11" t="s">
        <v>13</v>
      </c>
      <c r="C18" s="12" t="s">
        <v>24</v>
      </c>
      <c r="D18" s="13">
        <v>8534</v>
      </c>
      <c r="E18" s="11"/>
      <c r="F18" s="13">
        <f t="shared" si="0"/>
        <v>120505</v>
      </c>
    </row>
    <row r="19" spans="1:6" x14ac:dyDescent="0.25">
      <c r="A19" s="10">
        <v>45393</v>
      </c>
      <c r="B19" s="11" t="s">
        <v>13</v>
      </c>
      <c r="C19" s="12" t="s">
        <v>25</v>
      </c>
      <c r="D19" s="13">
        <v>1380</v>
      </c>
      <c r="E19" s="11"/>
      <c r="F19" s="13">
        <f t="shared" si="0"/>
        <v>121885</v>
      </c>
    </row>
    <row r="20" spans="1:6" x14ac:dyDescent="0.25">
      <c r="A20" s="10">
        <v>45393</v>
      </c>
      <c r="B20" s="11" t="s">
        <v>13</v>
      </c>
      <c r="C20" s="12" t="s">
        <v>26</v>
      </c>
      <c r="D20" s="13">
        <v>38700</v>
      </c>
      <c r="E20" s="11"/>
      <c r="F20" s="13">
        <f t="shared" si="0"/>
        <v>160585</v>
      </c>
    </row>
    <row r="21" spans="1:6" x14ac:dyDescent="0.25">
      <c r="A21" s="10">
        <v>45395</v>
      </c>
      <c r="B21" s="11" t="s">
        <v>13</v>
      </c>
      <c r="C21" s="12" t="s">
        <v>27</v>
      </c>
      <c r="D21" s="13">
        <v>5217</v>
      </c>
      <c r="E21" s="11"/>
      <c r="F21" s="13">
        <f t="shared" si="0"/>
        <v>165802</v>
      </c>
    </row>
    <row r="22" spans="1:6" x14ac:dyDescent="0.25">
      <c r="A22" s="10">
        <v>45397</v>
      </c>
      <c r="B22" s="11" t="s">
        <v>13</v>
      </c>
      <c r="C22" s="12" t="s">
        <v>28</v>
      </c>
      <c r="D22" s="13">
        <v>2838</v>
      </c>
      <c r="E22" s="11"/>
      <c r="F22" s="13">
        <f t="shared" si="0"/>
        <v>168640</v>
      </c>
    </row>
    <row r="23" spans="1:6" x14ac:dyDescent="0.25">
      <c r="A23" s="10">
        <v>45397</v>
      </c>
      <c r="B23" s="11" t="s">
        <v>20</v>
      </c>
      <c r="C23" s="12" t="s">
        <v>29</v>
      </c>
      <c r="D23" s="11"/>
      <c r="E23" s="13">
        <v>38700</v>
      </c>
      <c r="F23" s="13">
        <f t="shared" si="0"/>
        <v>129940</v>
      </c>
    </row>
    <row r="24" spans="1:6" x14ac:dyDescent="0.25">
      <c r="A24" s="10">
        <v>45398</v>
      </c>
      <c r="B24" s="11" t="s">
        <v>13</v>
      </c>
      <c r="C24" s="12" t="s">
        <v>30</v>
      </c>
      <c r="D24" s="13">
        <v>8657</v>
      </c>
      <c r="E24" s="11"/>
      <c r="F24" s="13">
        <f t="shared" si="0"/>
        <v>138597</v>
      </c>
    </row>
    <row r="25" spans="1:6" x14ac:dyDescent="0.25">
      <c r="A25" s="10">
        <v>45400</v>
      </c>
      <c r="B25" s="11" t="s">
        <v>13</v>
      </c>
      <c r="C25" s="12" t="s">
        <v>31</v>
      </c>
      <c r="D25" s="11"/>
      <c r="E25" s="11"/>
      <c r="F25" s="13">
        <f t="shared" si="0"/>
        <v>138597</v>
      </c>
    </row>
    <row r="26" spans="1:6" x14ac:dyDescent="0.25">
      <c r="A26" s="10">
        <v>45400</v>
      </c>
      <c r="B26" s="11" t="s">
        <v>13</v>
      </c>
      <c r="C26" s="12" t="s">
        <v>32</v>
      </c>
      <c r="D26" s="13">
        <v>30225</v>
      </c>
      <c r="E26" s="11"/>
      <c r="F26" s="13">
        <f t="shared" si="0"/>
        <v>168822</v>
      </c>
    </row>
    <row r="27" spans="1:6" x14ac:dyDescent="0.25">
      <c r="A27" s="10">
        <v>45405</v>
      </c>
      <c r="B27" s="11" t="s">
        <v>13</v>
      </c>
      <c r="C27" s="12" t="s">
        <v>33</v>
      </c>
      <c r="D27" s="13">
        <v>5534</v>
      </c>
      <c r="E27" s="11"/>
      <c r="F27" s="13">
        <f t="shared" si="0"/>
        <v>174356</v>
      </c>
    </row>
    <row r="28" spans="1:6" x14ac:dyDescent="0.25">
      <c r="A28" s="10">
        <v>45411</v>
      </c>
      <c r="B28" s="11" t="s">
        <v>13</v>
      </c>
      <c r="C28" s="12" t="s">
        <v>34</v>
      </c>
      <c r="D28" s="13">
        <v>8445</v>
      </c>
      <c r="E28" s="11"/>
      <c r="F28" s="13">
        <f t="shared" si="0"/>
        <v>182801</v>
      </c>
    </row>
    <row r="29" spans="1:6" x14ac:dyDescent="0.25">
      <c r="A29" s="10">
        <v>45413</v>
      </c>
      <c r="B29" s="11" t="s">
        <v>13</v>
      </c>
      <c r="C29" s="12" t="s">
        <v>35</v>
      </c>
      <c r="D29" s="13">
        <v>20867</v>
      </c>
      <c r="E29" s="11"/>
      <c r="F29" s="13">
        <f t="shared" si="0"/>
        <v>203668</v>
      </c>
    </row>
    <row r="30" spans="1:6" x14ac:dyDescent="0.25">
      <c r="A30" s="10">
        <v>45418</v>
      </c>
      <c r="B30" s="11" t="s">
        <v>13</v>
      </c>
      <c r="C30" s="12" t="s">
        <v>36</v>
      </c>
      <c r="D30" s="13">
        <v>6748</v>
      </c>
      <c r="E30" s="11"/>
      <c r="F30" s="13">
        <f t="shared" si="0"/>
        <v>210416</v>
      </c>
    </row>
    <row r="31" spans="1:6" x14ac:dyDescent="0.25">
      <c r="A31" s="10">
        <v>45419</v>
      </c>
      <c r="B31" s="11" t="s">
        <v>13</v>
      </c>
      <c r="C31" s="12" t="s">
        <v>37</v>
      </c>
      <c r="D31" s="13">
        <v>12379</v>
      </c>
      <c r="E31" s="11"/>
      <c r="F31" s="13">
        <f t="shared" si="0"/>
        <v>222795</v>
      </c>
    </row>
    <row r="32" spans="1:6" ht="75" x14ac:dyDescent="0.25">
      <c r="A32" s="10">
        <v>45422</v>
      </c>
      <c r="B32" s="11" t="s">
        <v>20</v>
      </c>
      <c r="C32" s="12" t="s">
        <v>38</v>
      </c>
      <c r="D32" s="11"/>
      <c r="E32" s="13">
        <v>80000</v>
      </c>
      <c r="F32" s="13">
        <f t="shared" si="0"/>
        <v>142795</v>
      </c>
    </row>
    <row r="33" spans="1:6" ht="60" x14ac:dyDescent="0.25">
      <c r="A33" s="10">
        <v>45422</v>
      </c>
      <c r="B33" s="11" t="s">
        <v>20</v>
      </c>
      <c r="C33" s="12" t="s">
        <v>39</v>
      </c>
      <c r="D33" s="11"/>
      <c r="E33" s="13">
        <v>18000</v>
      </c>
      <c r="F33" s="13">
        <f t="shared" si="0"/>
        <v>124795</v>
      </c>
    </row>
    <row r="34" spans="1:6" x14ac:dyDescent="0.25">
      <c r="A34" s="10">
        <v>45426</v>
      </c>
      <c r="B34" s="11" t="s">
        <v>13</v>
      </c>
      <c r="C34" s="12" t="s">
        <v>40</v>
      </c>
      <c r="D34" s="13">
        <v>53416</v>
      </c>
      <c r="E34" s="11"/>
      <c r="F34" s="13">
        <f t="shared" si="0"/>
        <v>178211</v>
      </c>
    </row>
    <row r="35" spans="1:6" x14ac:dyDescent="0.25">
      <c r="A35" s="10">
        <v>45427</v>
      </c>
      <c r="B35" s="11" t="s">
        <v>13</v>
      </c>
      <c r="C35" s="12" t="s">
        <v>41</v>
      </c>
      <c r="D35" s="13">
        <v>5566</v>
      </c>
      <c r="E35" s="11"/>
      <c r="F35" s="13">
        <f t="shared" si="0"/>
        <v>183777</v>
      </c>
    </row>
    <row r="36" spans="1:6" x14ac:dyDescent="0.25">
      <c r="A36" s="10">
        <v>45429</v>
      </c>
      <c r="B36" s="11" t="s">
        <v>13</v>
      </c>
      <c r="C36" s="12" t="s">
        <v>42</v>
      </c>
      <c r="D36" s="13">
        <v>1620</v>
      </c>
      <c r="E36" s="11"/>
      <c r="F36" s="13">
        <f t="shared" si="0"/>
        <v>185397</v>
      </c>
    </row>
    <row r="37" spans="1:6" ht="60" x14ac:dyDescent="0.25">
      <c r="A37" s="10">
        <v>45433</v>
      </c>
      <c r="B37" s="11" t="s">
        <v>20</v>
      </c>
      <c r="C37" s="12" t="s">
        <v>43</v>
      </c>
      <c r="D37" s="11"/>
      <c r="E37" s="13">
        <v>12626</v>
      </c>
      <c r="F37" s="13">
        <f t="shared" si="0"/>
        <v>172771</v>
      </c>
    </row>
    <row r="38" spans="1:6" x14ac:dyDescent="0.25">
      <c r="A38" s="10">
        <v>45434</v>
      </c>
      <c r="B38" s="11" t="s">
        <v>13</v>
      </c>
      <c r="C38" s="12" t="s">
        <v>44</v>
      </c>
      <c r="D38" s="13">
        <v>5807</v>
      </c>
      <c r="E38" s="11"/>
      <c r="F38" s="13">
        <f t="shared" si="0"/>
        <v>178578</v>
      </c>
    </row>
    <row r="39" spans="1:6" x14ac:dyDescent="0.25">
      <c r="A39" s="10">
        <v>45434</v>
      </c>
      <c r="B39" s="11" t="s">
        <v>13</v>
      </c>
      <c r="C39" s="12" t="s">
        <v>45</v>
      </c>
      <c r="D39" s="13">
        <v>21170</v>
      </c>
      <c r="E39" s="11"/>
      <c r="F39" s="13">
        <f t="shared" si="0"/>
        <v>199748</v>
      </c>
    </row>
    <row r="40" spans="1:6" x14ac:dyDescent="0.25">
      <c r="A40" s="10">
        <v>45434</v>
      </c>
      <c r="B40" s="11" t="s">
        <v>13</v>
      </c>
      <c r="C40" s="12" t="s">
        <v>46</v>
      </c>
      <c r="D40" s="13">
        <v>19500</v>
      </c>
      <c r="E40" s="11"/>
      <c r="F40" s="13">
        <f t="shared" si="0"/>
        <v>219248</v>
      </c>
    </row>
    <row r="41" spans="1:6" x14ac:dyDescent="0.25">
      <c r="A41" s="10">
        <v>45434</v>
      </c>
      <c r="B41" s="11" t="s">
        <v>13</v>
      </c>
      <c r="C41" s="12" t="s">
        <v>47</v>
      </c>
      <c r="D41" s="13">
        <v>2556</v>
      </c>
      <c r="E41" s="11"/>
      <c r="F41" s="13">
        <f t="shared" si="0"/>
        <v>221804</v>
      </c>
    </row>
    <row r="42" spans="1:6" ht="75" x14ac:dyDescent="0.25">
      <c r="A42" s="10">
        <v>45434</v>
      </c>
      <c r="B42" s="11" t="s">
        <v>20</v>
      </c>
      <c r="C42" s="12" t="s">
        <v>48</v>
      </c>
      <c r="D42" s="11"/>
      <c r="E42" s="13">
        <v>20000</v>
      </c>
      <c r="F42" s="13">
        <f t="shared" si="0"/>
        <v>201804</v>
      </c>
    </row>
    <row r="43" spans="1:6" x14ac:dyDescent="0.25">
      <c r="A43" s="10">
        <v>45436</v>
      </c>
      <c r="B43" s="11" t="s">
        <v>13</v>
      </c>
      <c r="C43" s="12" t="s">
        <v>49</v>
      </c>
      <c r="D43" s="13">
        <v>6800</v>
      </c>
      <c r="E43" s="11"/>
      <c r="F43" s="13">
        <f t="shared" si="0"/>
        <v>208604</v>
      </c>
    </row>
    <row r="44" spans="1:6" x14ac:dyDescent="0.25">
      <c r="A44" s="10">
        <v>45439</v>
      </c>
      <c r="B44" s="11" t="s">
        <v>13</v>
      </c>
      <c r="C44" s="12" t="s">
        <v>50</v>
      </c>
      <c r="D44" s="13">
        <v>5146</v>
      </c>
      <c r="E44" s="11"/>
      <c r="F44" s="13">
        <f t="shared" si="0"/>
        <v>213750</v>
      </c>
    </row>
    <row r="45" spans="1:6" x14ac:dyDescent="0.25">
      <c r="A45" s="10">
        <v>45442</v>
      </c>
      <c r="B45" s="11" t="s">
        <v>13</v>
      </c>
      <c r="C45" s="12" t="s">
        <v>51</v>
      </c>
      <c r="D45" s="13">
        <v>7375</v>
      </c>
      <c r="E45" s="11"/>
      <c r="F45" s="13">
        <f t="shared" si="0"/>
        <v>221125</v>
      </c>
    </row>
    <row r="46" spans="1:6" ht="60" x14ac:dyDescent="0.25">
      <c r="A46" s="10">
        <v>45443</v>
      </c>
      <c r="B46" s="11" t="s">
        <v>20</v>
      </c>
      <c r="C46" s="12" t="s">
        <v>52</v>
      </c>
      <c r="D46" s="11"/>
      <c r="E46" s="13">
        <v>40000</v>
      </c>
      <c r="F46" s="13">
        <f t="shared" si="0"/>
        <v>181125</v>
      </c>
    </row>
    <row r="47" spans="1:6" x14ac:dyDescent="0.25">
      <c r="A47" s="10">
        <v>45444</v>
      </c>
      <c r="B47" s="11" t="s">
        <v>13</v>
      </c>
      <c r="C47" s="12" t="s">
        <v>53</v>
      </c>
      <c r="D47" s="13">
        <v>11070</v>
      </c>
      <c r="E47" s="11"/>
      <c r="F47" s="13">
        <f t="shared" si="0"/>
        <v>192195</v>
      </c>
    </row>
    <row r="48" spans="1:6" x14ac:dyDescent="0.25">
      <c r="A48" s="10">
        <v>45444</v>
      </c>
      <c r="B48" s="11" t="s">
        <v>13</v>
      </c>
      <c r="C48" s="12" t="s">
        <v>54</v>
      </c>
      <c r="D48" s="13">
        <v>8490</v>
      </c>
      <c r="E48" s="11"/>
      <c r="F48" s="13">
        <f t="shared" si="0"/>
        <v>200685</v>
      </c>
    </row>
    <row r="49" spans="1:6" x14ac:dyDescent="0.25">
      <c r="A49" s="10">
        <v>45446</v>
      </c>
      <c r="B49" s="11" t="s">
        <v>13</v>
      </c>
      <c r="C49" s="12" t="s">
        <v>55</v>
      </c>
      <c r="D49" s="13">
        <v>5764</v>
      </c>
      <c r="E49" s="11"/>
      <c r="F49" s="13">
        <f t="shared" si="0"/>
        <v>206449</v>
      </c>
    </row>
    <row r="50" spans="1:6" x14ac:dyDescent="0.25">
      <c r="A50" s="10">
        <v>45446</v>
      </c>
      <c r="B50" s="11" t="s">
        <v>13</v>
      </c>
      <c r="C50" s="12" t="s">
        <v>56</v>
      </c>
      <c r="D50" s="13">
        <v>3143</v>
      </c>
      <c r="E50" s="11"/>
      <c r="F50" s="13">
        <f t="shared" si="0"/>
        <v>209592</v>
      </c>
    </row>
    <row r="51" spans="1:6" x14ac:dyDescent="0.25">
      <c r="A51" s="10">
        <v>45447</v>
      </c>
      <c r="B51" s="11" t="s">
        <v>13</v>
      </c>
      <c r="C51" s="12" t="s">
        <v>57</v>
      </c>
      <c r="D51" s="13">
        <v>10570</v>
      </c>
      <c r="E51" s="11"/>
      <c r="F51" s="13">
        <f t="shared" si="0"/>
        <v>220162</v>
      </c>
    </row>
    <row r="52" spans="1:6" x14ac:dyDescent="0.25">
      <c r="A52" s="10">
        <v>45448</v>
      </c>
      <c r="B52" s="11" t="s">
        <v>13</v>
      </c>
      <c r="C52" s="12" t="s">
        <v>58</v>
      </c>
      <c r="D52" s="13">
        <v>2363</v>
      </c>
      <c r="E52" s="11"/>
      <c r="F52" s="13">
        <f t="shared" si="0"/>
        <v>222525</v>
      </c>
    </row>
    <row r="53" spans="1:6" x14ac:dyDescent="0.25">
      <c r="A53" s="10">
        <v>45448</v>
      </c>
      <c r="B53" s="11" t="s">
        <v>13</v>
      </c>
      <c r="C53" s="12" t="s">
        <v>59</v>
      </c>
      <c r="D53" s="13">
        <v>19631</v>
      </c>
      <c r="E53" s="11"/>
      <c r="F53" s="13">
        <f t="shared" si="0"/>
        <v>242156</v>
      </c>
    </row>
    <row r="54" spans="1:6" x14ac:dyDescent="0.25">
      <c r="A54" s="10">
        <v>45450</v>
      </c>
      <c r="B54" s="11" t="s">
        <v>13</v>
      </c>
      <c r="C54" s="12" t="s">
        <v>60</v>
      </c>
      <c r="D54" s="13">
        <v>3106</v>
      </c>
      <c r="E54" s="11"/>
      <c r="F54" s="13">
        <f t="shared" si="0"/>
        <v>245262</v>
      </c>
    </row>
    <row r="55" spans="1:6" x14ac:dyDescent="0.25">
      <c r="A55" s="10">
        <v>45450</v>
      </c>
      <c r="B55" s="11" t="s">
        <v>20</v>
      </c>
      <c r="C55" s="12" t="s">
        <v>61</v>
      </c>
      <c r="D55" s="11"/>
      <c r="E55" s="13">
        <v>205</v>
      </c>
      <c r="F55" s="13">
        <f t="shared" si="0"/>
        <v>245057</v>
      </c>
    </row>
    <row r="56" spans="1:6" x14ac:dyDescent="0.25">
      <c r="A56" s="10">
        <v>45453</v>
      </c>
      <c r="B56" s="11" t="s">
        <v>13</v>
      </c>
      <c r="C56" s="12" t="s">
        <v>62</v>
      </c>
      <c r="D56" s="13">
        <v>8460</v>
      </c>
      <c r="E56" s="11"/>
      <c r="F56" s="13">
        <f t="shared" si="0"/>
        <v>253517</v>
      </c>
    </row>
    <row r="57" spans="1:6" x14ac:dyDescent="0.25">
      <c r="A57" s="10">
        <v>45453</v>
      </c>
      <c r="B57" s="11" t="s">
        <v>20</v>
      </c>
      <c r="C57" s="12" t="s">
        <v>63</v>
      </c>
      <c r="D57" s="11"/>
      <c r="E57" s="13">
        <v>6830</v>
      </c>
      <c r="F57" s="13">
        <f t="shared" si="0"/>
        <v>246687</v>
      </c>
    </row>
    <row r="58" spans="1:6" ht="90" x14ac:dyDescent="0.25">
      <c r="A58" s="10">
        <v>45453</v>
      </c>
      <c r="B58" s="11" t="s">
        <v>20</v>
      </c>
      <c r="C58" s="12" t="s">
        <v>64</v>
      </c>
      <c r="D58" s="11"/>
      <c r="E58" s="13">
        <v>170000</v>
      </c>
      <c r="F58" s="13">
        <f t="shared" si="0"/>
        <v>76687</v>
      </c>
    </row>
    <row r="59" spans="1:6" ht="30" x14ac:dyDescent="0.25">
      <c r="A59" s="10">
        <v>45453</v>
      </c>
      <c r="B59" s="11" t="s">
        <v>20</v>
      </c>
      <c r="C59" s="12" t="s">
        <v>65</v>
      </c>
      <c r="D59" s="11"/>
      <c r="E59" s="13">
        <v>4295</v>
      </c>
      <c r="F59" s="13">
        <f t="shared" si="0"/>
        <v>72392</v>
      </c>
    </row>
    <row r="60" spans="1:6" x14ac:dyDescent="0.25">
      <c r="A60" s="10">
        <v>45454</v>
      </c>
      <c r="B60" s="11" t="s">
        <v>13</v>
      </c>
      <c r="C60" s="12" t="s">
        <v>66</v>
      </c>
      <c r="D60" s="13">
        <v>27935</v>
      </c>
      <c r="E60" s="11"/>
      <c r="F60" s="13">
        <f t="shared" si="0"/>
        <v>100327</v>
      </c>
    </row>
    <row r="61" spans="1:6" x14ac:dyDescent="0.25">
      <c r="A61" s="10">
        <v>45457</v>
      </c>
      <c r="B61" s="11" t="s">
        <v>13</v>
      </c>
      <c r="C61" s="12" t="s">
        <v>67</v>
      </c>
      <c r="D61" s="13">
        <v>11877</v>
      </c>
      <c r="E61" s="11"/>
      <c r="F61" s="13">
        <f t="shared" si="0"/>
        <v>112204</v>
      </c>
    </row>
    <row r="62" spans="1:6" x14ac:dyDescent="0.25">
      <c r="A62" s="10">
        <v>45458</v>
      </c>
      <c r="B62" s="11" t="s">
        <v>13</v>
      </c>
      <c r="C62" s="12" t="s">
        <v>68</v>
      </c>
      <c r="D62" s="13">
        <v>4325</v>
      </c>
      <c r="E62" s="11"/>
      <c r="F62" s="13">
        <f t="shared" si="0"/>
        <v>116529</v>
      </c>
    </row>
    <row r="63" spans="1:6" x14ac:dyDescent="0.25">
      <c r="A63" s="10">
        <v>45458</v>
      </c>
      <c r="B63" s="11" t="s">
        <v>13</v>
      </c>
      <c r="C63" s="12" t="s">
        <v>69</v>
      </c>
      <c r="D63" s="13">
        <v>1434</v>
      </c>
      <c r="E63" s="11"/>
      <c r="F63" s="13">
        <f t="shared" si="0"/>
        <v>117963</v>
      </c>
    </row>
    <row r="64" spans="1:6" x14ac:dyDescent="0.25">
      <c r="A64" s="10">
        <v>45458</v>
      </c>
      <c r="B64" s="11" t="s">
        <v>13</v>
      </c>
      <c r="C64" s="12" t="s">
        <v>70</v>
      </c>
      <c r="D64" s="13">
        <v>6478</v>
      </c>
      <c r="E64" s="11"/>
      <c r="F64" s="13">
        <f t="shared" si="0"/>
        <v>124441</v>
      </c>
    </row>
    <row r="65" spans="1:6" x14ac:dyDescent="0.25">
      <c r="A65" s="10">
        <v>45458</v>
      </c>
      <c r="B65" s="11" t="s">
        <v>13</v>
      </c>
      <c r="C65" s="12" t="s">
        <v>71</v>
      </c>
      <c r="D65" s="13">
        <v>2991</v>
      </c>
      <c r="E65" s="11"/>
      <c r="F65" s="13">
        <f t="shared" si="0"/>
        <v>127432</v>
      </c>
    </row>
    <row r="66" spans="1:6" x14ac:dyDescent="0.25">
      <c r="A66" s="10">
        <v>45461</v>
      </c>
      <c r="B66" s="11" t="s">
        <v>13</v>
      </c>
      <c r="C66" s="12" t="s">
        <v>72</v>
      </c>
      <c r="D66" s="13">
        <v>8550</v>
      </c>
      <c r="E66" s="11"/>
      <c r="F66" s="13">
        <f t="shared" si="0"/>
        <v>135982</v>
      </c>
    </row>
    <row r="67" spans="1:6" x14ac:dyDescent="0.25">
      <c r="A67" s="10">
        <v>45463</v>
      </c>
      <c r="B67" s="11" t="s">
        <v>13</v>
      </c>
      <c r="C67" s="12" t="s">
        <v>73</v>
      </c>
      <c r="D67" s="13">
        <v>16165</v>
      </c>
      <c r="E67" s="11"/>
      <c r="F67" s="13">
        <f t="shared" si="0"/>
        <v>152147</v>
      </c>
    </row>
    <row r="68" spans="1:6" x14ac:dyDescent="0.25">
      <c r="A68" s="10">
        <v>45463</v>
      </c>
      <c r="B68" s="11" t="s">
        <v>13</v>
      </c>
      <c r="C68" s="12" t="s">
        <v>74</v>
      </c>
      <c r="D68" s="13">
        <v>3486</v>
      </c>
      <c r="E68" s="11"/>
      <c r="F68" s="13">
        <f t="shared" si="0"/>
        <v>155633</v>
      </c>
    </row>
    <row r="69" spans="1:6" x14ac:dyDescent="0.25">
      <c r="A69" s="10">
        <v>45463</v>
      </c>
      <c r="B69" s="11" t="s">
        <v>13</v>
      </c>
      <c r="C69" s="12" t="s">
        <v>75</v>
      </c>
      <c r="D69" s="13">
        <v>10100</v>
      </c>
      <c r="E69" s="11"/>
      <c r="F69" s="13">
        <f t="shared" si="0"/>
        <v>165733</v>
      </c>
    </row>
    <row r="70" spans="1:6" x14ac:dyDescent="0.25">
      <c r="A70" s="10">
        <v>45468</v>
      </c>
      <c r="B70" s="11" t="s">
        <v>13</v>
      </c>
      <c r="C70" s="12" t="s">
        <v>76</v>
      </c>
      <c r="D70" s="13">
        <v>8591</v>
      </c>
      <c r="E70" s="11"/>
      <c r="F70" s="13">
        <f t="shared" si="0"/>
        <v>174324</v>
      </c>
    </row>
    <row r="71" spans="1:6" x14ac:dyDescent="0.25">
      <c r="A71" s="10">
        <v>45468</v>
      </c>
      <c r="B71" s="11" t="s">
        <v>20</v>
      </c>
      <c r="C71" s="12" t="s">
        <v>77</v>
      </c>
      <c r="D71" s="11"/>
      <c r="E71" s="13">
        <v>10100</v>
      </c>
      <c r="F71" s="13">
        <f t="shared" si="0"/>
        <v>164224</v>
      </c>
    </row>
    <row r="72" spans="1:6" x14ac:dyDescent="0.25">
      <c r="A72" s="10">
        <v>45469</v>
      </c>
      <c r="B72" s="11" t="s">
        <v>13</v>
      </c>
      <c r="C72" s="12" t="s">
        <v>78</v>
      </c>
      <c r="D72" s="13">
        <v>17260</v>
      </c>
      <c r="E72" s="11"/>
      <c r="F72" s="13">
        <f t="shared" si="0"/>
        <v>181484</v>
      </c>
    </row>
    <row r="73" spans="1:6" x14ac:dyDescent="0.25">
      <c r="A73" s="10">
        <v>45470</v>
      </c>
      <c r="B73" s="11" t="s">
        <v>13</v>
      </c>
      <c r="C73" s="12" t="s">
        <v>79</v>
      </c>
      <c r="D73" s="13">
        <v>19238</v>
      </c>
      <c r="E73" s="11"/>
      <c r="F73" s="13">
        <f t="shared" ref="F73:F136" si="1">SUM(F72+D73-E73)</f>
        <v>200722</v>
      </c>
    </row>
    <row r="74" spans="1:6" x14ac:dyDescent="0.25">
      <c r="A74" s="10">
        <v>45471</v>
      </c>
      <c r="B74" s="11" t="s">
        <v>13</v>
      </c>
      <c r="C74" s="12" t="s">
        <v>80</v>
      </c>
      <c r="D74" s="13">
        <v>2091</v>
      </c>
      <c r="E74" s="11"/>
      <c r="F74" s="13">
        <f t="shared" si="1"/>
        <v>202813</v>
      </c>
    </row>
    <row r="75" spans="1:6" x14ac:dyDescent="0.25">
      <c r="A75" s="10">
        <v>45471</v>
      </c>
      <c r="B75" s="11" t="s">
        <v>13</v>
      </c>
      <c r="C75" s="12" t="s">
        <v>81</v>
      </c>
      <c r="D75" s="13">
        <v>8900</v>
      </c>
      <c r="E75" s="11"/>
      <c r="F75" s="13">
        <f t="shared" si="1"/>
        <v>211713</v>
      </c>
    </row>
    <row r="76" spans="1:6" x14ac:dyDescent="0.25">
      <c r="A76" s="10">
        <v>45476</v>
      </c>
      <c r="B76" s="11" t="s">
        <v>13</v>
      </c>
      <c r="C76" s="12" t="s">
        <v>82</v>
      </c>
      <c r="D76" s="13">
        <v>22798</v>
      </c>
      <c r="E76" s="11"/>
      <c r="F76" s="13">
        <f t="shared" si="1"/>
        <v>234511</v>
      </c>
    </row>
    <row r="77" spans="1:6" x14ac:dyDescent="0.25">
      <c r="A77" s="10">
        <v>45477</v>
      </c>
      <c r="B77" s="11" t="s">
        <v>13</v>
      </c>
      <c r="C77" s="12" t="s">
        <v>83</v>
      </c>
      <c r="D77" s="13">
        <v>32128</v>
      </c>
      <c r="E77" s="11"/>
      <c r="F77" s="13">
        <f t="shared" si="1"/>
        <v>266639</v>
      </c>
    </row>
    <row r="78" spans="1:6" ht="60" x14ac:dyDescent="0.25">
      <c r="A78" s="10">
        <v>45477</v>
      </c>
      <c r="B78" s="11" t="s">
        <v>20</v>
      </c>
      <c r="C78" s="12" t="s">
        <v>84</v>
      </c>
      <c r="D78" s="11"/>
      <c r="E78" s="13">
        <v>25000</v>
      </c>
      <c r="F78" s="13">
        <f t="shared" si="1"/>
        <v>241639</v>
      </c>
    </row>
    <row r="79" spans="1:6" ht="90" x14ac:dyDescent="0.25">
      <c r="A79" s="10">
        <v>45477</v>
      </c>
      <c r="B79" s="11" t="s">
        <v>20</v>
      </c>
      <c r="C79" s="12" t="s">
        <v>85</v>
      </c>
      <c r="D79" s="11"/>
      <c r="E79" s="13">
        <v>20000</v>
      </c>
      <c r="F79" s="13">
        <f t="shared" si="1"/>
        <v>221639</v>
      </c>
    </row>
    <row r="80" spans="1:6" x14ac:dyDescent="0.25">
      <c r="A80" s="10">
        <v>45478</v>
      </c>
      <c r="B80" s="11" t="s">
        <v>13</v>
      </c>
      <c r="C80" s="12" t="s">
        <v>86</v>
      </c>
      <c r="D80" s="13">
        <v>6474</v>
      </c>
      <c r="E80" s="11"/>
      <c r="F80" s="13">
        <f t="shared" si="1"/>
        <v>228113</v>
      </c>
    </row>
    <row r="81" spans="1:6" ht="45" x14ac:dyDescent="0.25">
      <c r="A81" s="10">
        <v>45478</v>
      </c>
      <c r="B81" s="11" t="s">
        <v>20</v>
      </c>
      <c r="C81" s="12" t="s">
        <v>87</v>
      </c>
      <c r="D81" s="11"/>
      <c r="E81" s="13">
        <v>5000</v>
      </c>
      <c r="F81" s="13">
        <f t="shared" si="1"/>
        <v>223113</v>
      </c>
    </row>
    <row r="82" spans="1:6" ht="60" x14ac:dyDescent="0.25">
      <c r="A82" s="10">
        <v>45479</v>
      </c>
      <c r="B82" s="11" t="s">
        <v>20</v>
      </c>
      <c r="C82" s="12" t="s">
        <v>88</v>
      </c>
      <c r="D82" s="11"/>
      <c r="E82" s="13">
        <v>10000</v>
      </c>
      <c r="F82" s="13">
        <f t="shared" si="1"/>
        <v>213113</v>
      </c>
    </row>
    <row r="83" spans="1:6" x14ac:dyDescent="0.25">
      <c r="A83" s="10">
        <v>45481</v>
      </c>
      <c r="B83" s="11" t="s">
        <v>13</v>
      </c>
      <c r="C83" s="12" t="s">
        <v>89</v>
      </c>
      <c r="D83" s="13">
        <v>11731</v>
      </c>
      <c r="E83" s="11"/>
      <c r="F83" s="13">
        <f t="shared" si="1"/>
        <v>224844</v>
      </c>
    </row>
    <row r="84" spans="1:6" x14ac:dyDescent="0.25">
      <c r="A84" s="10">
        <v>45481</v>
      </c>
      <c r="B84" s="11" t="s">
        <v>13</v>
      </c>
      <c r="C84" s="12" t="s">
        <v>90</v>
      </c>
      <c r="D84" s="13">
        <v>5545</v>
      </c>
      <c r="E84" s="11"/>
      <c r="F84" s="13">
        <f t="shared" si="1"/>
        <v>230389</v>
      </c>
    </row>
    <row r="85" spans="1:6" x14ac:dyDescent="0.25">
      <c r="A85" s="10">
        <v>45481</v>
      </c>
      <c r="B85" s="11" t="s">
        <v>13</v>
      </c>
      <c r="C85" s="12" t="s">
        <v>91</v>
      </c>
      <c r="D85" s="13">
        <v>10740</v>
      </c>
      <c r="E85" s="11"/>
      <c r="F85" s="13">
        <f t="shared" si="1"/>
        <v>241129</v>
      </c>
    </row>
    <row r="86" spans="1:6" x14ac:dyDescent="0.25">
      <c r="A86" s="10">
        <v>45484</v>
      </c>
      <c r="B86" s="11" t="s">
        <v>13</v>
      </c>
      <c r="C86" s="12" t="s">
        <v>92</v>
      </c>
      <c r="D86" s="11"/>
      <c r="E86" s="11"/>
      <c r="F86" s="13">
        <f t="shared" si="1"/>
        <v>241129</v>
      </c>
    </row>
    <row r="87" spans="1:6" x14ac:dyDescent="0.25">
      <c r="A87" s="10">
        <v>45485</v>
      </c>
      <c r="B87" s="11" t="s">
        <v>13</v>
      </c>
      <c r="C87" s="12" t="s">
        <v>93</v>
      </c>
      <c r="D87" s="13">
        <v>3105</v>
      </c>
      <c r="E87" s="11"/>
      <c r="F87" s="13">
        <f t="shared" si="1"/>
        <v>244234</v>
      </c>
    </row>
    <row r="88" spans="1:6" ht="90" x14ac:dyDescent="0.25">
      <c r="A88" s="10">
        <v>45485</v>
      </c>
      <c r="B88" s="11" t="s">
        <v>20</v>
      </c>
      <c r="C88" s="12" t="s">
        <v>94</v>
      </c>
      <c r="D88" s="11"/>
      <c r="E88" s="13">
        <v>100000</v>
      </c>
      <c r="F88" s="13">
        <f t="shared" si="1"/>
        <v>144234</v>
      </c>
    </row>
    <row r="89" spans="1:6" ht="60" x14ac:dyDescent="0.25">
      <c r="A89" s="10">
        <v>45485</v>
      </c>
      <c r="B89" s="11" t="s">
        <v>20</v>
      </c>
      <c r="C89" s="12" t="s">
        <v>95</v>
      </c>
      <c r="D89" s="11"/>
      <c r="E89" s="13">
        <v>25000</v>
      </c>
      <c r="F89" s="13">
        <f t="shared" si="1"/>
        <v>119234</v>
      </c>
    </row>
    <row r="90" spans="1:6" x14ac:dyDescent="0.25">
      <c r="A90" s="10">
        <v>45486</v>
      </c>
      <c r="B90" s="11" t="s">
        <v>13</v>
      </c>
      <c r="C90" s="12" t="s">
        <v>96</v>
      </c>
      <c r="D90" s="13">
        <v>1037</v>
      </c>
      <c r="E90" s="11"/>
      <c r="F90" s="13">
        <f t="shared" si="1"/>
        <v>120271</v>
      </c>
    </row>
    <row r="91" spans="1:6" x14ac:dyDescent="0.25">
      <c r="A91" s="10">
        <v>45488</v>
      </c>
      <c r="B91" s="11" t="s">
        <v>13</v>
      </c>
      <c r="C91" s="12" t="s">
        <v>97</v>
      </c>
      <c r="D91" s="13">
        <v>12000</v>
      </c>
      <c r="E91" s="11"/>
      <c r="F91" s="13">
        <f t="shared" si="1"/>
        <v>132271</v>
      </c>
    </row>
    <row r="92" spans="1:6" x14ac:dyDescent="0.25">
      <c r="A92" s="10">
        <v>45488</v>
      </c>
      <c r="B92" s="11" t="s">
        <v>13</v>
      </c>
      <c r="C92" s="12" t="s">
        <v>98</v>
      </c>
      <c r="D92" s="13">
        <v>20875</v>
      </c>
      <c r="E92" s="11"/>
      <c r="F92" s="13">
        <f t="shared" si="1"/>
        <v>153146</v>
      </c>
    </row>
    <row r="93" spans="1:6" x14ac:dyDescent="0.25">
      <c r="A93" s="10">
        <v>45488</v>
      </c>
      <c r="B93" s="11" t="s">
        <v>13</v>
      </c>
      <c r="C93" s="12" t="s">
        <v>99</v>
      </c>
      <c r="D93" s="13">
        <v>23498</v>
      </c>
      <c r="E93" s="11"/>
      <c r="F93" s="13">
        <f t="shared" si="1"/>
        <v>176644</v>
      </c>
    </row>
    <row r="94" spans="1:6" x14ac:dyDescent="0.25">
      <c r="A94" s="10">
        <v>45488</v>
      </c>
      <c r="B94" s="11" t="s">
        <v>13</v>
      </c>
      <c r="C94" s="12" t="s">
        <v>100</v>
      </c>
      <c r="D94" s="13">
        <v>2000</v>
      </c>
      <c r="E94" s="11"/>
      <c r="F94" s="13">
        <f t="shared" si="1"/>
        <v>178644</v>
      </c>
    </row>
    <row r="95" spans="1:6" x14ac:dyDescent="0.25">
      <c r="A95" s="10">
        <v>45488</v>
      </c>
      <c r="B95" s="11" t="s">
        <v>20</v>
      </c>
      <c r="C95" s="12" t="s">
        <v>101</v>
      </c>
      <c r="D95" s="11"/>
      <c r="E95" s="13">
        <v>12000</v>
      </c>
      <c r="F95" s="13">
        <f t="shared" si="1"/>
        <v>166644</v>
      </c>
    </row>
    <row r="96" spans="1:6" x14ac:dyDescent="0.25">
      <c r="A96" s="10">
        <v>45490</v>
      </c>
      <c r="B96" s="11" t="s">
        <v>13</v>
      </c>
      <c r="C96" s="12" t="s">
        <v>102</v>
      </c>
      <c r="D96" s="13">
        <v>13035</v>
      </c>
      <c r="E96" s="11"/>
      <c r="F96" s="13">
        <f t="shared" si="1"/>
        <v>179679</v>
      </c>
    </row>
    <row r="97" spans="1:6" x14ac:dyDescent="0.25">
      <c r="A97" s="10">
        <v>45491</v>
      </c>
      <c r="B97" s="11" t="s">
        <v>13</v>
      </c>
      <c r="C97" s="12" t="s">
        <v>103</v>
      </c>
      <c r="D97" s="13">
        <v>5500</v>
      </c>
      <c r="E97" s="11"/>
      <c r="F97" s="13">
        <f t="shared" si="1"/>
        <v>185179</v>
      </c>
    </row>
    <row r="98" spans="1:6" x14ac:dyDescent="0.25">
      <c r="A98" s="10">
        <v>45493</v>
      </c>
      <c r="B98" s="11" t="s">
        <v>13</v>
      </c>
      <c r="C98" s="12" t="s">
        <v>104</v>
      </c>
      <c r="D98" s="13">
        <v>5704</v>
      </c>
      <c r="E98" s="11"/>
      <c r="F98" s="13">
        <f t="shared" si="1"/>
        <v>190883</v>
      </c>
    </row>
    <row r="99" spans="1:6" x14ac:dyDescent="0.25">
      <c r="A99" s="10">
        <v>45495</v>
      </c>
      <c r="B99" s="11" t="s">
        <v>13</v>
      </c>
      <c r="C99" s="12" t="s">
        <v>105</v>
      </c>
      <c r="D99" s="13">
        <v>22420</v>
      </c>
      <c r="E99" s="11"/>
      <c r="F99" s="13">
        <f t="shared" si="1"/>
        <v>213303</v>
      </c>
    </row>
    <row r="100" spans="1:6" x14ac:dyDescent="0.25">
      <c r="A100" s="10">
        <v>45495</v>
      </c>
      <c r="B100" s="11" t="s">
        <v>13</v>
      </c>
      <c r="C100" s="12" t="s">
        <v>106</v>
      </c>
      <c r="D100" s="13">
        <v>10740</v>
      </c>
      <c r="E100" s="11"/>
      <c r="F100" s="13">
        <f t="shared" si="1"/>
        <v>224043</v>
      </c>
    </row>
    <row r="101" spans="1:6" x14ac:dyDescent="0.25">
      <c r="A101" s="10">
        <v>45496</v>
      </c>
      <c r="B101" s="11" t="s">
        <v>13</v>
      </c>
      <c r="C101" s="12" t="s">
        <v>107</v>
      </c>
      <c r="D101" s="13">
        <v>5565</v>
      </c>
      <c r="E101" s="11"/>
      <c r="F101" s="13">
        <f t="shared" si="1"/>
        <v>229608</v>
      </c>
    </row>
    <row r="102" spans="1:6" x14ac:dyDescent="0.25">
      <c r="A102" s="10">
        <v>45497</v>
      </c>
      <c r="B102" s="11" t="s">
        <v>13</v>
      </c>
      <c r="C102" s="12" t="s">
        <v>108</v>
      </c>
      <c r="D102" s="13">
        <v>3000</v>
      </c>
      <c r="E102" s="11"/>
      <c r="F102" s="13">
        <f t="shared" si="1"/>
        <v>232608</v>
      </c>
    </row>
    <row r="103" spans="1:6" x14ac:dyDescent="0.25">
      <c r="A103" s="10">
        <v>45497</v>
      </c>
      <c r="B103" s="11" t="s">
        <v>20</v>
      </c>
      <c r="C103" s="12" t="s">
        <v>109</v>
      </c>
      <c r="D103" s="11"/>
      <c r="E103" s="13">
        <v>26713</v>
      </c>
      <c r="F103" s="13">
        <f t="shared" si="1"/>
        <v>205895</v>
      </c>
    </row>
    <row r="104" spans="1:6" x14ac:dyDescent="0.25">
      <c r="A104" s="10">
        <v>45498</v>
      </c>
      <c r="B104" s="11" t="s">
        <v>13</v>
      </c>
      <c r="C104" s="12" t="s">
        <v>110</v>
      </c>
      <c r="D104" s="13">
        <v>10000</v>
      </c>
      <c r="E104" s="11"/>
      <c r="F104" s="13">
        <f t="shared" si="1"/>
        <v>215895</v>
      </c>
    </row>
    <row r="105" spans="1:6" x14ac:dyDescent="0.25">
      <c r="A105" s="10">
        <v>45499</v>
      </c>
      <c r="B105" s="11" t="s">
        <v>13</v>
      </c>
      <c r="C105" s="12" t="s">
        <v>111</v>
      </c>
      <c r="D105" s="13">
        <v>4900</v>
      </c>
      <c r="E105" s="11"/>
      <c r="F105" s="13">
        <f t="shared" si="1"/>
        <v>220795</v>
      </c>
    </row>
    <row r="106" spans="1:6" x14ac:dyDescent="0.25">
      <c r="A106" s="10">
        <v>45500</v>
      </c>
      <c r="B106" s="11" t="s">
        <v>13</v>
      </c>
      <c r="C106" s="12" t="s">
        <v>112</v>
      </c>
      <c r="D106" s="13">
        <v>10025</v>
      </c>
      <c r="E106" s="11"/>
      <c r="F106" s="13">
        <f t="shared" si="1"/>
        <v>230820</v>
      </c>
    </row>
    <row r="107" spans="1:6" x14ac:dyDescent="0.25">
      <c r="A107" s="10">
        <v>45500</v>
      </c>
      <c r="B107" s="11" t="s">
        <v>13</v>
      </c>
      <c r="C107" s="12" t="s">
        <v>113</v>
      </c>
      <c r="D107" s="13">
        <v>3625</v>
      </c>
      <c r="E107" s="11"/>
      <c r="F107" s="13">
        <f t="shared" si="1"/>
        <v>234445</v>
      </c>
    </row>
    <row r="108" spans="1:6" x14ac:dyDescent="0.25">
      <c r="A108" s="10">
        <v>45500</v>
      </c>
      <c r="B108" s="11" t="s">
        <v>20</v>
      </c>
      <c r="C108" s="12" t="s">
        <v>114</v>
      </c>
      <c r="D108" s="11"/>
      <c r="E108" s="13">
        <v>20025</v>
      </c>
      <c r="F108" s="13">
        <f t="shared" si="1"/>
        <v>214420</v>
      </c>
    </row>
    <row r="109" spans="1:6" x14ac:dyDescent="0.25">
      <c r="A109" s="10">
        <v>45502</v>
      </c>
      <c r="B109" s="11" t="s">
        <v>13</v>
      </c>
      <c r="C109" s="12" t="s">
        <v>115</v>
      </c>
      <c r="D109" s="13">
        <v>15137</v>
      </c>
      <c r="E109" s="11"/>
      <c r="F109" s="13">
        <f t="shared" si="1"/>
        <v>229557</v>
      </c>
    </row>
    <row r="110" spans="1:6" x14ac:dyDescent="0.25">
      <c r="A110" s="10">
        <v>45502</v>
      </c>
      <c r="B110" s="11" t="s">
        <v>13</v>
      </c>
      <c r="C110" s="12" t="s">
        <v>116</v>
      </c>
      <c r="D110" s="13">
        <v>2246</v>
      </c>
      <c r="E110" s="11"/>
      <c r="F110" s="13">
        <f t="shared" si="1"/>
        <v>231803</v>
      </c>
    </row>
    <row r="111" spans="1:6" x14ac:dyDescent="0.25">
      <c r="A111" s="10">
        <v>45502</v>
      </c>
      <c r="B111" s="11" t="s">
        <v>13</v>
      </c>
      <c r="C111" s="12" t="s">
        <v>117</v>
      </c>
      <c r="D111" s="13">
        <v>10413</v>
      </c>
      <c r="E111" s="11"/>
      <c r="F111" s="13">
        <f t="shared" si="1"/>
        <v>242216</v>
      </c>
    </row>
    <row r="112" spans="1:6" x14ac:dyDescent="0.25">
      <c r="A112" s="10">
        <v>45502</v>
      </c>
      <c r="B112" s="11" t="s">
        <v>13</v>
      </c>
      <c r="C112" s="12" t="s">
        <v>118</v>
      </c>
      <c r="D112" s="13">
        <v>1560</v>
      </c>
      <c r="E112" s="11"/>
      <c r="F112" s="13">
        <f t="shared" si="1"/>
        <v>243776</v>
      </c>
    </row>
    <row r="113" spans="1:6" x14ac:dyDescent="0.25">
      <c r="A113" s="10">
        <v>45502</v>
      </c>
      <c r="B113" s="11" t="s">
        <v>13</v>
      </c>
      <c r="C113" s="12" t="s">
        <v>119</v>
      </c>
      <c r="D113" s="13">
        <v>5100</v>
      </c>
      <c r="E113" s="11"/>
      <c r="F113" s="13">
        <f t="shared" si="1"/>
        <v>248876</v>
      </c>
    </row>
    <row r="114" spans="1:6" x14ac:dyDescent="0.25">
      <c r="A114" s="10">
        <v>45503</v>
      </c>
      <c r="B114" s="11" t="s">
        <v>13</v>
      </c>
      <c r="C114" s="12" t="s">
        <v>120</v>
      </c>
      <c r="D114" s="13">
        <v>5768</v>
      </c>
      <c r="E114" s="11"/>
      <c r="F114" s="13">
        <f t="shared" si="1"/>
        <v>254644</v>
      </c>
    </row>
    <row r="115" spans="1:6" x14ac:dyDescent="0.25">
      <c r="A115" s="10">
        <v>45504</v>
      </c>
      <c r="B115" s="11" t="s">
        <v>13</v>
      </c>
      <c r="C115" s="12" t="s">
        <v>121</v>
      </c>
      <c r="D115" s="11"/>
      <c r="E115" s="11"/>
      <c r="F115" s="13">
        <f t="shared" si="1"/>
        <v>254644</v>
      </c>
    </row>
    <row r="116" spans="1:6" x14ac:dyDescent="0.25">
      <c r="A116" s="10">
        <v>45504</v>
      </c>
      <c r="B116" s="11" t="s">
        <v>13</v>
      </c>
      <c r="C116" s="12" t="s">
        <v>122</v>
      </c>
      <c r="D116" s="13">
        <v>2149</v>
      </c>
      <c r="E116" s="11"/>
      <c r="F116" s="13">
        <f t="shared" si="1"/>
        <v>256793</v>
      </c>
    </row>
    <row r="117" spans="1:6" x14ac:dyDescent="0.25">
      <c r="A117" s="10">
        <v>45504</v>
      </c>
      <c r="B117" s="11" t="s">
        <v>13</v>
      </c>
      <c r="C117" s="12" t="s">
        <v>123</v>
      </c>
      <c r="D117" s="13">
        <v>3143</v>
      </c>
      <c r="E117" s="11"/>
      <c r="F117" s="13">
        <f t="shared" si="1"/>
        <v>259936</v>
      </c>
    </row>
    <row r="118" spans="1:6" x14ac:dyDescent="0.25">
      <c r="A118" s="10">
        <v>45505</v>
      </c>
      <c r="B118" s="11" t="s">
        <v>13</v>
      </c>
      <c r="C118" s="12" t="s">
        <v>124</v>
      </c>
      <c r="D118" s="13">
        <v>6302</v>
      </c>
      <c r="E118" s="11"/>
      <c r="F118" s="13">
        <f t="shared" si="1"/>
        <v>266238</v>
      </c>
    </row>
    <row r="119" spans="1:6" x14ac:dyDescent="0.25">
      <c r="A119" s="10">
        <v>45506</v>
      </c>
      <c r="B119" s="11" t="s">
        <v>13</v>
      </c>
      <c r="C119" s="12" t="s">
        <v>125</v>
      </c>
      <c r="D119" s="13">
        <v>16853</v>
      </c>
      <c r="E119" s="11"/>
      <c r="F119" s="13">
        <f t="shared" si="1"/>
        <v>283091</v>
      </c>
    </row>
    <row r="120" spans="1:6" x14ac:dyDescent="0.25">
      <c r="A120" s="10">
        <v>45506</v>
      </c>
      <c r="B120" s="11" t="s">
        <v>13</v>
      </c>
      <c r="C120" s="12" t="s">
        <v>126</v>
      </c>
      <c r="D120" s="13">
        <v>1760</v>
      </c>
      <c r="E120" s="11"/>
      <c r="F120" s="13">
        <f t="shared" si="1"/>
        <v>284851</v>
      </c>
    </row>
    <row r="121" spans="1:6" x14ac:dyDescent="0.25">
      <c r="A121" s="10">
        <v>45507</v>
      </c>
      <c r="B121" s="11" t="s">
        <v>13</v>
      </c>
      <c r="C121" s="12" t="s">
        <v>127</v>
      </c>
      <c r="D121" s="13">
        <v>16112</v>
      </c>
      <c r="E121" s="11"/>
      <c r="F121" s="13">
        <f t="shared" si="1"/>
        <v>300963</v>
      </c>
    </row>
    <row r="122" spans="1:6" x14ac:dyDescent="0.25">
      <c r="A122" s="10">
        <v>45507</v>
      </c>
      <c r="B122" s="11" t="s">
        <v>13</v>
      </c>
      <c r="C122" s="12" t="s">
        <v>128</v>
      </c>
      <c r="D122" s="13">
        <v>9075</v>
      </c>
      <c r="E122" s="11"/>
      <c r="F122" s="13">
        <f t="shared" si="1"/>
        <v>310038</v>
      </c>
    </row>
    <row r="123" spans="1:6" x14ac:dyDescent="0.25">
      <c r="A123" s="10">
        <v>45510</v>
      </c>
      <c r="B123" s="11" t="s">
        <v>13</v>
      </c>
      <c r="C123" s="12" t="s">
        <v>129</v>
      </c>
      <c r="D123" s="13">
        <v>2178</v>
      </c>
      <c r="E123" s="11"/>
      <c r="F123" s="13">
        <f t="shared" si="1"/>
        <v>312216</v>
      </c>
    </row>
    <row r="124" spans="1:6" x14ac:dyDescent="0.25">
      <c r="A124" s="10">
        <v>45511</v>
      </c>
      <c r="B124" s="11" t="s">
        <v>13</v>
      </c>
      <c r="C124" s="12" t="s">
        <v>130</v>
      </c>
      <c r="D124" s="13">
        <v>7427</v>
      </c>
      <c r="E124" s="11"/>
      <c r="F124" s="13">
        <f t="shared" si="1"/>
        <v>319643</v>
      </c>
    </row>
    <row r="125" spans="1:6" x14ac:dyDescent="0.25">
      <c r="A125" s="10">
        <v>45513</v>
      </c>
      <c r="B125" s="11" t="s">
        <v>13</v>
      </c>
      <c r="C125" s="12" t="s">
        <v>131</v>
      </c>
      <c r="D125" s="13">
        <v>10400</v>
      </c>
      <c r="E125" s="11"/>
      <c r="F125" s="13">
        <f t="shared" si="1"/>
        <v>330043</v>
      </c>
    </row>
    <row r="126" spans="1:6" x14ac:dyDescent="0.25">
      <c r="A126" s="10">
        <v>45514</v>
      </c>
      <c r="B126" s="11" t="s">
        <v>13</v>
      </c>
      <c r="C126" s="12" t="s">
        <v>132</v>
      </c>
      <c r="D126" s="13">
        <v>23713</v>
      </c>
      <c r="E126" s="11"/>
      <c r="F126" s="13">
        <f t="shared" si="1"/>
        <v>353756</v>
      </c>
    </row>
    <row r="127" spans="1:6" x14ac:dyDescent="0.25">
      <c r="A127" s="10">
        <v>45514</v>
      </c>
      <c r="B127" s="11" t="s">
        <v>13</v>
      </c>
      <c r="C127" s="12" t="s">
        <v>133</v>
      </c>
      <c r="D127" s="13">
        <v>1560</v>
      </c>
      <c r="E127" s="11"/>
      <c r="F127" s="13">
        <f t="shared" si="1"/>
        <v>355316</v>
      </c>
    </row>
    <row r="128" spans="1:6" x14ac:dyDescent="0.25">
      <c r="A128" s="10">
        <v>45514</v>
      </c>
      <c r="B128" s="11" t="s">
        <v>20</v>
      </c>
      <c r="C128" s="12" t="s">
        <v>134</v>
      </c>
      <c r="D128" s="11"/>
      <c r="E128" s="13">
        <v>10400</v>
      </c>
      <c r="F128" s="13">
        <f t="shared" si="1"/>
        <v>344916</v>
      </c>
    </row>
    <row r="129" spans="1:6" x14ac:dyDescent="0.25">
      <c r="A129" s="10">
        <v>45516</v>
      </c>
      <c r="B129" s="11" t="s">
        <v>13</v>
      </c>
      <c r="C129" s="12" t="s">
        <v>135</v>
      </c>
      <c r="D129" s="13">
        <v>18440</v>
      </c>
      <c r="E129" s="11"/>
      <c r="F129" s="13">
        <f t="shared" si="1"/>
        <v>363356</v>
      </c>
    </row>
    <row r="130" spans="1:6" x14ac:dyDescent="0.25">
      <c r="A130" s="10">
        <v>45517</v>
      </c>
      <c r="B130" s="11" t="s">
        <v>13</v>
      </c>
      <c r="C130" s="12" t="s">
        <v>136</v>
      </c>
      <c r="D130" s="13">
        <v>12255</v>
      </c>
      <c r="E130" s="11"/>
      <c r="F130" s="13">
        <f t="shared" si="1"/>
        <v>375611</v>
      </c>
    </row>
    <row r="131" spans="1:6" x14ac:dyDescent="0.25">
      <c r="A131" s="10">
        <v>45517</v>
      </c>
      <c r="B131" s="11" t="s">
        <v>13</v>
      </c>
      <c r="C131" s="12" t="s">
        <v>137</v>
      </c>
      <c r="D131" s="13">
        <v>4160</v>
      </c>
      <c r="E131" s="11"/>
      <c r="F131" s="13">
        <f t="shared" si="1"/>
        <v>379771</v>
      </c>
    </row>
    <row r="132" spans="1:6" ht="90" x14ac:dyDescent="0.25">
      <c r="A132" s="10">
        <v>45517</v>
      </c>
      <c r="B132" s="11" t="s">
        <v>20</v>
      </c>
      <c r="C132" s="12" t="s">
        <v>138</v>
      </c>
      <c r="D132" s="11"/>
      <c r="E132" s="13">
        <v>100000</v>
      </c>
      <c r="F132" s="13">
        <f t="shared" si="1"/>
        <v>279771</v>
      </c>
    </row>
    <row r="133" spans="1:6" ht="90" x14ac:dyDescent="0.25">
      <c r="A133" s="10">
        <v>45517</v>
      </c>
      <c r="B133" s="11" t="s">
        <v>20</v>
      </c>
      <c r="C133" s="12" t="s">
        <v>139</v>
      </c>
      <c r="D133" s="11"/>
      <c r="E133" s="13">
        <v>150000</v>
      </c>
      <c r="F133" s="13">
        <f t="shared" si="1"/>
        <v>129771</v>
      </c>
    </row>
    <row r="134" spans="1:6" x14ac:dyDescent="0.25">
      <c r="A134" s="10">
        <v>45518</v>
      </c>
      <c r="B134" s="11" t="s">
        <v>13</v>
      </c>
      <c r="C134" s="12" t="s">
        <v>140</v>
      </c>
      <c r="D134" s="13">
        <v>16067</v>
      </c>
      <c r="E134" s="11"/>
      <c r="F134" s="13">
        <f t="shared" si="1"/>
        <v>145838</v>
      </c>
    </row>
    <row r="135" spans="1:6" x14ac:dyDescent="0.25">
      <c r="A135" s="10">
        <v>45518</v>
      </c>
      <c r="B135" s="11" t="s">
        <v>13</v>
      </c>
      <c r="C135" s="12" t="s">
        <v>141</v>
      </c>
      <c r="D135" s="13">
        <v>11330</v>
      </c>
      <c r="E135" s="11"/>
      <c r="F135" s="13">
        <f t="shared" si="1"/>
        <v>157168</v>
      </c>
    </row>
    <row r="136" spans="1:6" x14ac:dyDescent="0.25">
      <c r="A136" s="10">
        <v>45518</v>
      </c>
      <c r="B136" s="11" t="s">
        <v>20</v>
      </c>
      <c r="C136" s="12" t="s">
        <v>142</v>
      </c>
      <c r="D136" s="11"/>
      <c r="E136" s="13">
        <v>4160</v>
      </c>
      <c r="F136" s="13">
        <f t="shared" si="1"/>
        <v>153008</v>
      </c>
    </row>
    <row r="137" spans="1:6" x14ac:dyDescent="0.25">
      <c r="A137" s="10">
        <v>45519</v>
      </c>
      <c r="B137" s="11" t="s">
        <v>13</v>
      </c>
      <c r="C137" s="12" t="s">
        <v>143</v>
      </c>
      <c r="D137" s="13">
        <v>4438</v>
      </c>
      <c r="E137" s="11"/>
      <c r="F137" s="13">
        <f t="shared" ref="F137:F200" si="2">SUM(F136+D137-E137)</f>
        <v>157446</v>
      </c>
    </row>
    <row r="138" spans="1:6" x14ac:dyDescent="0.25">
      <c r="A138" s="10">
        <v>45519</v>
      </c>
      <c r="B138" s="11" t="s">
        <v>13</v>
      </c>
      <c r="C138" s="12" t="s">
        <v>144</v>
      </c>
      <c r="D138" s="13">
        <v>5645</v>
      </c>
      <c r="E138" s="11"/>
      <c r="F138" s="13">
        <f t="shared" si="2"/>
        <v>163091</v>
      </c>
    </row>
    <row r="139" spans="1:6" x14ac:dyDescent="0.25">
      <c r="A139" s="10">
        <v>45520</v>
      </c>
      <c r="B139" s="11" t="s">
        <v>13</v>
      </c>
      <c r="C139" s="12" t="s">
        <v>145</v>
      </c>
      <c r="D139" s="13">
        <v>2348</v>
      </c>
      <c r="E139" s="11"/>
      <c r="F139" s="13">
        <f t="shared" si="2"/>
        <v>165439</v>
      </c>
    </row>
    <row r="140" spans="1:6" x14ac:dyDescent="0.25">
      <c r="A140" s="10">
        <v>45523</v>
      </c>
      <c r="B140" s="11" t="s">
        <v>13</v>
      </c>
      <c r="C140" s="12" t="s">
        <v>146</v>
      </c>
      <c r="D140" s="13">
        <v>2875</v>
      </c>
      <c r="E140" s="11"/>
      <c r="F140" s="13">
        <f t="shared" si="2"/>
        <v>168314</v>
      </c>
    </row>
    <row r="141" spans="1:6" x14ac:dyDescent="0.25">
      <c r="A141" s="10">
        <v>45523</v>
      </c>
      <c r="B141" s="11" t="s">
        <v>13</v>
      </c>
      <c r="C141" s="12" t="s">
        <v>147</v>
      </c>
      <c r="D141" s="13">
        <v>5250</v>
      </c>
      <c r="E141" s="11"/>
      <c r="F141" s="13">
        <f t="shared" si="2"/>
        <v>173564</v>
      </c>
    </row>
    <row r="142" spans="1:6" x14ac:dyDescent="0.25">
      <c r="A142" s="10">
        <v>45526</v>
      </c>
      <c r="B142" s="11" t="s">
        <v>13</v>
      </c>
      <c r="C142" s="12" t="s">
        <v>148</v>
      </c>
      <c r="D142" s="13">
        <v>15375</v>
      </c>
      <c r="E142" s="11"/>
      <c r="F142" s="13">
        <f t="shared" si="2"/>
        <v>188939</v>
      </c>
    </row>
    <row r="143" spans="1:6" x14ac:dyDescent="0.25">
      <c r="A143" s="10">
        <v>45527</v>
      </c>
      <c r="B143" s="11" t="s">
        <v>13</v>
      </c>
      <c r="C143" s="12" t="s">
        <v>149</v>
      </c>
      <c r="D143" s="13">
        <v>23857</v>
      </c>
      <c r="E143" s="11"/>
      <c r="F143" s="13">
        <f t="shared" si="2"/>
        <v>212796</v>
      </c>
    </row>
    <row r="144" spans="1:6" x14ac:dyDescent="0.25">
      <c r="A144" s="10">
        <v>45531</v>
      </c>
      <c r="B144" s="11" t="s">
        <v>13</v>
      </c>
      <c r="C144" s="12" t="s">
        <v>150</v>
      </c>
      <c r="D144" s="13">
        <v>3883</v>
      </c>
      <c r="E144" s="11"/>
      <c r="F144" s="13">
        <f t="shared" si="2"/>
        <v>216679</v>
      </c>
    </row>
    <row r="145" spans="1:6" x14ac:dyDescent="0.25">
      <c r="A145" s="10">
        <v>45533</v>
      </c>
      <c r="B145" s="11" t="s">
        <v>13</v>
      </c>
      <c r="C145" s="12" t="s">
        <v>151</v>
      </c>
      <c r="D145" s="13">
        <v>54769</v>
      </c>
      <c r="E145" s="11"/>
      <c r="F145" s="13">
        <f t="shared" si="2"/>
        <v>271448</v>
      </c>
    </row>
    <row r="146" spans="1:6" x14ac:dyDescent="0.25">
      <c r="A146" s="10">
        <v>45533</v>
      </c>
      <c r="B146" s="11" t="s">
        <v>13</v>
      </c>
      <c r="C146" s="12" t="s">
        <v>152</v>
      </c>
      <c r="D146" s="13">
        <v>10458</v>
      </c>
      <c r="E146" s="11"/>
      <c r="F146" s="13">
        <f t="shared" si="2"/>
        <v>281906</v>
      </c>
    </row>
    <row r="147" spans="1:6" x14ac:dyDescent="0.25">
      <c r="A147" s="10">
        <v>45537</v>
      </c>
      <c r="B147" s="11" t="s">
        <v>13</v>
      </c>
      <c r="C147" s="12" t="s">
        <v>153</v>
      </c>
      <c r="D147" s="13">
        <v>34862</v>
      </c>
      <c r="E147" s="11"/>
      <c r="F147" s="13">
        <f t="shared" si="2"/>
        <v>316768</v>
      </c>
    </row>
    <row r="148" spans="1:6" x14ac:dyDescent="0.25">
      <c r="A148" s="10">
        <v>45537</v>
      </c>
      <c r="B148" s="11" t="s">
        <v>13</v>
      </c>
      <c r="C148" s="12" t="s">
        <v>154</v>
      </c>
      <c r="D148" s="13">
        <v>2537</v>
      </c>
      <c r="E148" s="11"/>
      <c r="F148" s="13">
        <f t="shared" si="2"/>
        <v>319305</v>
      </c>
    </row>
    <row r="149" spans="1:6" x14ac:dyDescent="0.25">
      <c r="A149" s="10">
        <v>45538</v>
      </c>
      <c r="B149" s="11" t="s">
        <v>13</v>
      </c>
      <c r="C149" s="12" t="s">
        <v>155</v>
      </c>
      <c r="D149" s="13">
        <v>3488</v>
      </c>
      <c r="E149" s="11"/>
      <c r="F149" s="13">
        <f t="shared" si="2"/>
        <v>322793</v>
      </c>
    </row>
    <row r="150" spans="1:6" x14ac:dyDescent="0.25">
      <c r="A150" s="10">
        <v>45538</v>
      </c>
      <c r="B150" s="11" t="s">
        <v>13</v>
      </c>
      <c r="C150" s="12" t="s">
        <v>156</v>
      </c>
      <c r="D150" s="13">
        <v>12812</v>
      </c>
      <c r="E150" s="11"/>
      <c r="F150" s="13">
        <f t="shared" si="2"/>
        <v>335605</v>
      </c>
    </row>
    <row r="151" spans="1:6" ht="75" x14ac:dyDescent="0.25">
      <c r="A151" s="10">
        <v>45540</v>
      </c>
      <c r="B151" s="11" t="s">
        <v>20</v>
      </c>
      <c r="C151" s="12" t="s">
        <v>157</v>
      </c>
      <c r="D151" s="11"/>
      <c r="E151" s="13">
        <v>30000</v>
      </c>
      <c r="F151" s="13">
        <f t="shared" si="2"/>
        <v>305605</v>
      </c>
    </row>
    <row r="152" spans="1:6" x14ac:dyDescent="0.25">
      <c r="A152" s="10">
        <v>45541</v>
      </c>
      <c r="B152" s="11" t="s">
        <v>13</v>
      </c>
      <c r="C152" s="12" t="s">
        <v>158</v>
      </c>
      <c r="D152" s="13">
        <v>23586</v>
      </c>
      <c r="E152" s="11"/>
      <c r="F152" s="13">
        <f t="shared" si="2"/>
        <v>329191</v>
      </c>
    </row>
    <row r="153" spans="1:6" x14ac:dyDescent="0.25">
      <c r="A153" s="10">
        <v>45541</v>
      </c>
      <c r="B153" s="11" t="s">
        <v>13</v>
      </c>
      <c r="C153" s="12" t="s">
        <v>159</v>
      </c>
      <c r="D153" s="13">
        <v>4288</v>
      </c>
      <c r="E153" s="11"/>
      <c r="F153" s="13">
        <f t="shared" si="2"/>
        <v>333479</v>
      </c>
    </row>
    <row r="154" spans="1:6" x14ac:dyDescent="0.25">
      <c r="A154" s="10">
        <v>45541</v>
      </c>
      <c r="B154" s="11" t="s">
        <v>13</v>
      </c>
      <c r="C154" s="12" t="s">
        <v>160</v>
      </c>
      <c r="D154" s="13">
        <v>10175</v>
      </c>
      <c r="E154" s="11"/>
      <c r="F154" s="13">
        <f t="shared" si="2"/>
        <v>343654</v>
      </c>
    </row>
    <row r="155" spans="1:6" x14ac:dyDescent="0.25">
      <c r="A155" s="10">
        <v>45541</v>
      </c>
      <c r="B155" s="11" t="s">
        <v>20</v>
      </c>
      <c r="C155" s="12" t="s">
        <v>161</v>
      </c>
      <c r="D155" s="11"/>
      <c r="E155" s="13">
        <v>10175</v>
      </c>
      <c r="F155" s="13">
        <f t="shared" si="2"/>
        <v>333479</v>
      </c>
    </row>
    <row r="156" spans="1:6" x14ac:dyDescent="0.25">
      <c r="A156" s="10">
        <v>45546</v>
      </c>
      <c r="B156" s="11" t="s">
        <v>13</v>
      </c>
      <c r="C156" s="12" t="s">
        <v>162</v>
      </c>
      <c r="D156" s="13">
        <v>6150</v>
      </c>
      <c r="E156" s="11"/>
      <c r="F156" s="13">
        <f t="shared" si="2"/>
        <v>339629</v>
      </c>
    </row>
    <row r="157" spans="1:6" x14ac:dyDescent="0.25">
      <c r="A157" s="10">
        <v>45546</v>
      </c>
      <c r="B157" s="11" t="s">
        <v>20</v>
      </c>
      <c r="C157" s="12" t="s">
        <v>163</v>
      </c>
      <c r="D157" s="11"/>
      <c r="E157" s="13">
        <v>6150</v>
      </c>
      <c r="F157" s="13">
        <f t="shared" si="2"/>
        <v>333479</v>
      </c>
    </row>
    <row r="158" spans="1:6" ht="60" x14ac:dyDescent="0.25">
      <c r="A158" s="10">
        <v>45546</v>
      </c>
      <c r="B158" s="11" t="s">
        <v>20</v>
      </c>
      <c r="C158" s="12" t="s">
        <v>164</v>
      </c>
      <c r="D158" s="11"/>
      <c r="E158" s="13">
        <v>50000</v>
      </c>
      <c r="F158" s="13">
        <f t="shared" si="2"/>
        <v>283479</v>
      </c>
    </row>
    <row r="159" spans="1:6" ht="60" x14ac:dyDescent="0.25">
      <c r="A159" s="10">
        <v>45548</v>
      </c>
      <c r="B159" s="11" t="s">
        <v>20</v>
      </c>
      <c r="C159" s="12" t="s">
        <v>165</v>
      </c>
      <c r="D159" s="11"/>
      <c r="E159" s="13">
        <v>15000</v>
      </c>
      <c r="F159" s="13">
        <f t="shared" si="2"/>
        <v>268479</v>
      </c>
    </row>
    <row r="160" spans="1:6" ht="60" x14ac:dyDescent="0.25">
      <c r="A160" s="10">
        <v>45548</v>
      </c>
      <c r="B160" s="11" t="s">
        <v>20</v>
      </c>
      <c r="C160" s="12" t="s">
        <v>166</v>
      </c>
      <c r="D160" s="11"/>
      <c r="E160" s="13">
        <v>24000</v>
      </c>
      <c r="F160" s="13">
        <f t="shared" si="2"/>
        <v>244479</v>
      </c>
    </row>
    <row r="161" spans="1:6" x14ac:dyDescent="0.25">
      <c r="A161" s="10">
        <v>45551</v>
      </c>
      <c r="B161" s="11" t="s">
        <v>13</v>
      </c>
      <c r="C161" s="12" t="s">
        <v>167</v>
      </c>
      <c r="D161" s="13">
        <v>10448</v>
      </c>
      <c r="E161" s="11"/>
      <c r="F161" s="13">
        <f t="shared" si="2"/>
        <v>254927</v>
      </c>
    </row>
    <row r="162" spans="1:6" x14ac:dyDescent="0.25">
      <c r="A162" s="10">
        <v>45553</v>
      </c>
      <c r="B162" s="11" t="s">
        <v>13</v>
      </c>
      <c r="C162" s="12" t="s">
        <v>168</v>
      </c>
      <c r="D162" s="13">
        <v>18698</v>
      </c>
      <c r="E162" s="11"/>
      <c r="F162" s="13">
        <f t="shared" si="2"/>
        <v>273625</v>
      </c>
    </row>
    <row r="163" spans="1:6" x14ac:dyDescent="0.25">
      <c r="A163" s="10">
        <v>45553</v>
      </c>
      <c r="B163" s="11" t="s">
        <v>20</v>
      </c>
      <c r="C163" s="12" t="s">
        <v>169</v>
      </c>
      <c r="D163" s="11"/>
      <c r="E163" s="13">
        <v>206</v>
      </c>
      <c r="F163" s="13">
        <f t="shared" si="2"/>
        <v>273419</v>
      </c>
    </row>
    <row r="164" spans="1:6" ht="90" x14ac:dyDescent="0.25">
      <c r="A164" s="10">
        <v>45553</v>
      </c>
      <c r="B164" s="11" t="s">
        <v>20</v>
      </c>
      <c r="C164" s="12" t="s">
        <v>170</v>
      </c>
      <c r="D164" s="11"/>
      <c r="E164" s="13">
        <v>160000</v>
      </c>
      <c r="F164" s="13">
        <f t="shared" si="2"/>
        <v>113419</v>
      </c>
    </row>
    <row r="165" spans="1:6" ht="30" x14ac:dyDescent="0.25">
      <c r="A165" s="10">
        <v>45554</v>
      </c>
      <c r="B165" s="11" t="s">
        <v>171</v>
      </c>
      <c r="C165" s="12" t="s">
        <v>172</v>
      </c>
      <c r="D165" s="11"/>
      <c r="E165" s="13">
        <v>850</v>
      </c>
      <c r="F165" s="13">
        <f t="shared" si="2"/>
        <v>112569</v>
      </c>
    </row>
    <row r="166" spans="1:6" x14ac:dyDescent="0.25">
      <c r="A166" s="10">
        <v>45555</v>
      </c>
      <c r="B166" s="11" t="s">
        <v>13</v>
      </c>
      <c r="C166" s="12" t="s">
        <v>173</v>
      </c>
      <c r="D166" s="13">
        <v>2802</v>
      </c>
      <c r="E166" s="11"/>
      <c r="F166" s="13">
        <f t="shared" si="2"/>
        <v>115371</v>
      </c>
    </row>
    <row r="167" spans="1:6" x14ac:dyDescent="0.25">
      <c r="A167" s="10">
        <v>45557</v>
      </c>
      <c r="B167" s="11" t="s">
        <v>13</v>
      </c>
      <c r="C167" s="12" t="s">
        <v>174</v>
      </c>
      <c r="D167" s="13">
        <v>3360</v>
      </c>
      <c r="E167" s="11"/>
      <c r="F167" s="13">
        <f t="shared" si="2"/>
        <v>118731</v>
      </c>
    </row>
    <row r="168" spans="1:6" x14ac:dyDescent="0.25">
      <c r="A168" s="10">
        <v>45558</v>
      </c>
      <c r="B168" s="11" t="s">
        <v>13</v>
      </c>
      <c r="C168" s="12" t="s">
        <v>175</v>
      </c>
      <c r="D168" s="13">
        <v>2047</v>
      </c>
      <c r="E168" s="11"/>
      <c r="F168" s="13">
        <f t="shared" si="2"/>
        <v>120778</v>
      </c>
    </row>
    <row r="169" spans="1:6" x14ac:dyDescent="0.25">
      <c r="A169" s="10">
        <v>45558</v>
      </c>
      <c r="B169" s="11" t="s">
        <v>13</v>
      </c>
      <c r="C169" s="12" t="s">
        <v>176</v>
      </c>
      <c r="D169" s="13">
        <v>18000</v>
      </c>
      <c r="E169" s="11"/>
      <c r="F169" s="13">
        <f t="shared" si="2"/>
        <v>138778</v>
      </c>
    </row>
    <row r="170" spans="1:6" x14ac:dyDescent="0.25">
      <c r="A170" s="10">
        <v>45559</v>
      </c>
      <c r="B170" s="11" t="s">
        <v>13</v>
      </c>
      <c r="C170" s="12" t="s">
        <v>177</v>
      </c>
      <c r="D170" s="13">
        <v>10100</v>
      </c>
      <c r="E170" s="11"/>
      <c r="F170" s="13">
        <f t="shared" si="2"/>
        <v>148878</v>
      </c>
    </row>
    <row r="171" spans="1:6" x14ac:dyDescent="0.25">
      <c r="A171" s="10">
        <v>45560</v>
      </c>
      <c r="B171" s="11" t="s">
        <v>13</v>
      </c>
      <c r="C171" s="12" t="s">
        <v>178</v>
      </c>
      <c r="D171" s="13">
        <v>7700</v>
      </c>
      <c r="E171" s="11"/>
      <c r="F171" s="13">
        <f t="shared" si="2"/>
        <v>156578</v>
      </c>
    </row>
    <row r="172" spans="1:6" x14ac:dyDescent="0.25">
      <c r="A172" s="10">
        <v>45560</v>
      </c>
      <c r="B172" s="11" t="s">
        <v>13</v>
      </c>
      <c r="C172" s="12" t="s">
        <v>179</v>
      </c>
      <c r="D172" s="13">
        <v>30186</v>
      </c>
      <c r="E172" s="11"/>
      <c r="F172" s="13">
        <f t="shared" si="2"/>
        <v>186764</v>
      </c>
    </row>
    <row r="173" spans="1:6" x14ac:dyDescent="0.25">
      <c r="A173" s="10">
        <v>45562</v>
      </c>
      <c r="B173" s="11" t="s">
        <v>13</v>
      </c>
      <c r="C173" s="12" t="s">
        <v>180</v>
      </c>
      <c r="D173" s="13">
        <v>30305</v>
      </c>
      <c r="E173" s="11"/>
      <c r="F173" s="13">
        <f t="shared" si="2"/>
        <v>217069</v>
      </c>
    </row>
    <row r="174" spans="1:6" x14ac:dyDescent="0.25">
      <c r="A174" s="10">
        <v>45562</v>
      </c>
      <c r="B174" s="11" t="s">
        <v>13</v>
      </c>
      <c r="C174" s="12" t="s">
        <v>181</v>
      </c>
      <c r="D174" s="13">
        <v>9550</v>
      </c>
      <c r="E174" s="11"/>
      <c r="F174" s="13">
        <f t="shared" si="2"/>
        <v>226619</v>
      </c>
    </row>
    <row r="175" spans="1:6" x14ac:dyDescent="0.25">
      <c r="A175" s="10">
        <v>45564</v>
      </c>
      <c r="B175" s="11" t="s">
        <v>13</v>
      </c>
      <c r="C175" s="12" t="s">
        <v>182</v>
      </c>
      <c r="D175" s="13">
        <v>2537</v>
      </c>
      <c r="E175" s="11"/>
      <c r="F175" s="13">
        <f t="shared" si="2"/>
        <v>229156</v>
      </c>
    </row>
    <row r="176" spans="1:6" x14ac:dyDescent="0.25">
      <c r="A176" s="10">
        <v>45565</v>
      </c>
      <c r="B176" s="11" t="s">
        <v>171</v>
      </c>
      <c r="C176" s="12" t="s">
        <v>183</v>
      </c>
      <c r="D176" s="11"/>
      <c r="E176" s="13">
        <v>1850</v>
      </c>
      <c r="F176" s="13">
        <f t="shared" si="2"/>
        <v>227306</v>
      </c>
    </row>
    <row r="177" spans="1:6" x14ac:dyDescent="0.25">
      <c r="A177" s="10">
        <v>45566</v>
      </c>
      <c r="B177" s="11" t="s">
        <v>13</v>
      </c>
      <c r="C177" s="12" t="s">
        <v>184</v>
      </c>
      <c r="D177" s="13">
        <v>3263</v>
      </c>
      <c r="E177" s="11"/>
      <c r="F177" s="13">
        <f t="shared" si="2"/>
        <v>230569</v>
      </c>
    </row>
    <row r="178" spans="1:6" x14ac:dyDescent="0.25">
      <c r="A178" s="10">
        <v>45566</v>
      </c>
      <c r="B178" s="11" t="s">
        <v>13</v>
      </c>
      <c r="C178" s="12" t="s">
        <v>185</v>
      </c>
      <c r="D178" s="13">
        <v>3143</v>
      </c>
      <c r="E178" s="11"/>
      <c r="F178" s="13">
        <f t="shared" si="2"/>
        <v>233712</v>
      </c>
    </row>
    <row r="179" spans="1:6" x14ac:dyDescent="0.25">
      <c r="A179" s="10">
        <v>45567</v>
      </c>
      <c r="B179" s="11" t="s">
        <v>13</v>
      </c>
      <c r="C179" s="12" t="s">
        <v>186</v>
      </c>
      <c r="D179" s="11"/>
      <c r="E179" s="11"/>
      <c r="F179" s="13">
        <f t="shared" si="2"/>
        <v>233712</v>
      </c>
    </row>
    <row r="180" spans="1:6" x14ac:dyDescent="0.25">
      <c r="A180" s="10">
        <v>45568</v>
      </c>
      <c r="B180" s="11" t="s">
        <v>13</v>
      </c>
      <c r="C180" s="12" t="s">
        <v>187</v>
      </c>
      <c r="D180" s="13">
        <v>3060</v>
      </c>
      <c r="E180" s="11"/>
      <c r="F180" s="13">
        <f t="shared" si="2"/>
        <v>236772</v>
      </c>
    </row>
    <row r="181" spans="1:6" x14ac:dyDescent="0.25">
      <c r="A181" s="10">
        <v>45569</v>
      </c>
      <c r="B181" s="11" t="s">
        <v>13</v>
      </c>
      <c r="C181" s="12" t="s">
        <v>188</v>
      </c>
      <c r="D181" s="13">
        <v>6987</v>
      </c>
      <c r="E181" s="11"/>
      <c r="F181" s="13">
        <f t="shared" si="2"/>
        <v>243759</v>
      </c>
    </row>
    <row r="182" spans="1:6" x14ac:dyDescent="0.25">
      <c r="A182" s="10">
        <v>45572</v>
      </c>
      <c r="B182" s="11" t="s">
        <v>13</v>
      </c>
      <c r="C182" s="12" t="s">
        <v>189</v>
      </c>
      <c r="D182" s="13">
        <v>14019</v>
      </c>
      <c r="E182" s="11"/>
      <c r="F182" s="13">
        <f t="shared" si="2"/>
        <v>257778</v>
      </c>
    </row>
    <row r="183" spans="1:6" x14ac:dyDescent="0.25">
      <c r="A183" s="10">
        <v>45572</v>
      </c>
      <c r="B183" s="11" t="s">
        <v>13</v>
      </c>
      <c r="C183" s="12" t="s">
        <v>190</v>
      </c>
      <c r="D183" s="11"/>
      <c r="E183" s="11"/>
      <c r="F183" s="13">
        <f t="shared" si="2"/>
        <v>257778</v>
      </c>
    </row>
    <row r="184" spans="1:6" x14ac:dyDescent="0.25">
      <c r="A184" s="10">
        <v>45573</v>
      </c>
      <c r="B184" s="11" t="s">
        <v>13</v>
      </c>
      <c r="C184" s="12" t="s">
        <v>191</v>
      </c>
      <c r="D184" s="13">
        <v>5480</v>
      </c>
      <c r="E184" s="11"/>
      <c r="F184" s="13">
        <f t="shared" si="2"/>
        <v>263258</v>
      </c>
    </row>
    <row r="185" spans="1:6" x14ac:dyDescent="0.25">
      <c r="A185" s="10">
        <v>45573</v>
      </c>
      <c r="B185" s="11" t="s">
        <v>13</v>
      </c>
      <c r="C185" s="12" t="s">
        <v>192</v>
      </c>
      <c r="D185" s="13">
        <v>11900</v>
      </c>
      <c r="E185" s="11"/>
      <c r="F185" s="13">
        <f t="shared" si="2"/>
        <v>275158</v>
      </c>
    </row>
    <row r="186" spans="1:6" x14ac:dyDescent="0.25">
      <c r="A186" s="10">
        <v>45574</v>
      </c>
      <c r="B186" s="11" t="s">
        <v>13</v>
      </c>
      <c r="C186" s="12" t="s">
        <v>193</v>
      </c>
      <c r="D186" s="13">
        <v>9858</v>
      </c>
      <c r="E186" s="11"/>
      <c r="F186" s="13">
        <f t="shared" si="2"/>
        <v>285016</v>
      </c>
    </row>
    <row r="187" spans="1:6" ht="60" x14ac:dyDescent="0.25">
      <c r="A187" s="10">
        <v>45574</v>
      </c>
      <c r="B187" s="11" t="s">
        <v>20</v>
      </c>
      <c r="C187" s="12" t="s">
        <v>194</v>
      </c>
      <c r="D187" s="11"/>
      <c r="E187" s="13">
        <v>200000</v>
      </c>
      <c r="F187" s="13">
        <f t="shared" si="2"/>
        <v>85016</v>
      </c>
    </row>
    <row r="188" spans="1:6" x14ac:dyDescent="0.25">
      <c r="A188" s="10">
        <v>45576</v>
      </c>
      <c r="B188" s="11" t="s">
        <v>13</v>
      </c>
      <c r="C188" s="12" t="s">
        <v>195</v>
      </c>
      <c r="D188" s="13">
        <v>13741</v>
      </c>
      <c r="E188" s="11"/>
      <c r="F188" s="13">
        <f t="shared" si="2"/>
        <v>98757</v>
      </c>
    </row>
    <row r="189" spans="1:6" x14ac:dyDescent="0.25">
      <c r="A189" s="10">
        <v>45577</v>
      </c>
      <c r="B189" s="11" t="s">
        <v>13</v>
      </c>
      <c r="C189" s="12" t="s">
        <v>196</v>
      </c>
      <c r="D189" s="13">
        <v>10150</v>
      </c>
      <c r="E189" s="11"/>
      <c r="F189" s="13">
        <f t="shared" si="2"/>
        <v>108907</v>
      </c>
    </row>
    <row r="190" spans="1:6" x14ac:dyDescent="0.25">
      <c r="A190" s="10">
        <v>45579</v>
      </c>
      <c r="B190" s="11" t="s">
        <v>13</v>
      </c>
      <c r="C190" s="12" t="s">
        <v>197</v>
      </c>
      <c r="D190" s="13">
        <v>1020</v>
      </c>
      <c r="E190" s="11"/>
      <c r="F190" s="13">
        <f t="shared" si="2"/>
        <v>109927</v>
      </c>
    </row>
    <row r="191" spans="1:6" x14ac:dyDescent="0.25">
      <c r="A191" s="10">
        <v>45579</v>
      </c>
      <c r="B191" s="11" t="s">
        <v>13</v>
      </c>
      <c r="C191" s="12" t="s">
        <v>198</v>
      </c>
      <c r="D191" s="13">
        <v>4080</v>
      </c>
      <c r="E191" s="11"/>
      <c r="F191" s="13">
        <f t="shared" si="2"/>
        <v>114007</v>
      </c>
    </row>
    <row r="192" spans="1:6" x14ac:dyDescent="0.25">
      <c r="A192" s="10">
        <v>45579</v>
      </c>
      <c r="B192" s="11" t="s">
        <v>20</v>
      </c>
      <c r="C192" s="12" t="s">
        <v>199</v>
      </c>
      <c r="D192" s="11"/>
      <c r="E192" s="13">
        <v>10150</v>
      </c>
      <c r="F192" s="13">
        <f t="shared" si="2"/>
        <v>103857</v>
      </c>
    </row>
    <row r="193" spans="1:6" x14ac:dyDescent="0.25">
      <c r="A193" s="10">
        <v>45580</v>
      </c>
      <c r="B193" s="11" t="s">
        <v>13</v>
      </c>
      <c r="C193" s="12" t="s">
        <v>200</v>
      </c>
      <c r="D193" s="13">
        <v>11835</v>
      </c>
      <c r="E193" s="11"/>
      <c r="F193" s="13">
        <f t="shared" si="2"/>
        <v>115692</v>
      </c>
    </row>
    <row r="194" spans="1:6" x14ac:dyDescent="0.25">
      <c r="A194" s="10">
        <v>45580</v>
      </c>
      <c r="B194" s="11" t="s">
        <v>13</v>
      </c>
      <c r="C194" s="12" t="s">
        <v>201</v>
      </c>
      <c r="D194" s="13">
        <v>27711</v>
      </c>
      <c r="E194" s="11"/>
      <c r="F194" s="13">
        <f t="shared" si="2"/>
        <v>143403</v>
      </c>
    </row>
    <row r="195" spans="1:6" x14ac:dyDescent="0.25">
      <c r="A195" s="10">
        <v>45581</v>
      </c>
      <c r="B195" s="11" t="s">
        <v>13</v>
      </c>
      <c r="C195" s="12" t="s">
        <v>202</v>
      </c>
      <c r="D195" s="13">
        <v>5490</v>
      </c>
      <c r="E195" s="11"/>
      <c r="F195" s="13">
        <f t="shared" si="2"/>
        <v>148893</v>
      </c>
    </row>
    <row r="196" spans="1:6" x14ac:dyDescent="0.25">
      <c r="A196" s="10">
        <v>45584</v>
      </c>
      <c r="B196" s="11" t="s">
        <v>13</v>
      </c>
      <c r="C196" s="12" t="s">
        <v>203</v>
      </c>
      <c r="D196" s="13">
        <v>9989</v>
      </c>
      <c r="E196" s="11"/>
      <c r="F196" s="13">
        <f t="shared" si="2"/>
        <v>158882</v>
      </c>
    </row>
    <row r="197" spans="1:6" x14ac:dyDescent="0.25">
      <c r="A197" s="10">
        <v>45587</v>
      </c>
      <c r="B197" s="11" t="s">
        <v>13</v>
      </c>
      <c r="C197" s="12" t="s">
        <v>204</v>
      </c>
      <c r="D197" s="13">
        <v>2919</v>
      </c>
      <c r="E197" s="11"/>
      <c r="F197" s="13">
        <f t="shared" si="2"/>
        <v>161801</v>
      </c>
    </row>
    <row r="198" spans="1:6" x14ac:dyDescent="0.25">
      <c r="A198" s="10">
        <v>45588</v>
      </c>
      <c r="B198" s="11" t="s">
        <v>13</v>
      </c>
      <c r="C198" s="12" t="s">
        <v>205</v>
      </c>
      <c r="D198" s="13">
        <v>9300</v>
      </c>
      <c r="E198" s="11"/>
      <c r="F198" s="13">
        <f t="shared" si="2"/>
        <v>171101</v>
      </c>
    </row>
    <row r="199" spans="1:6" x14ac:dyDescent="0.25">
      <c r="A199" s="10">
        <v>45588</v>
      </c>
      <c r="B199" s="11" t="s">
        <v>13</v>
      </c>
      <c r="C199" s="12" t="s">
        <v>206</v>
      </c>
      <c r="D199" s="13">
        <v>2986</v>
      </c>
      <c r="E199" s="11"/>
      <c r="F199" s="13">
        <f t="shared" si="2"/>
        <v>174087</v>
      </c>
    </row>
    <row r="200" spans="1:6" x14ac:dyDescent="0.25">
      <c r="A200" s="10">
        <v>45590</v>
      </c>
      <c r="B200" s="11" t="s">
        <v>13</v>
      </c>
      <c r="C200" s="12" t="s">
        <v>207</v>
      </c>
      <c r="D200" s="13">
        <v>11750</v>
      </c>
      <c r="E200" s="11"/>
      <c r="F200" s="13">
        <f t="shared" si="2"/>
        <v>185837</v>
      </c>
    </row>
    <row r="201" spans="1:6" x14ac:dyDescent="0.25">
      <c r="A201" s="10">
        <v>45590</v>
      </c>
      <c r="B201" s="11" t="s">
        <v>13</v>
      </c>
      <c r="C201" s="12" t="s">
        <v>208</v>
      </c>
      <c r="D201" s="13">
        <v>11750</v>
      </c>
      <c r="E201" s="11"/>
      <c r="F201" s="13">
        <f t="shared" ref="F201:F264" si="3">SUM(F200+D201-E201)</f>
        <v>197587</v>
      </c>
    </row>
    <row r="202" spans="1:6" x14ac:dyDescent="0.25">
      <c r="A202" s="10">
        <v>45591</v>
      </c>
      <c r="B202" s="11" t="s">
        <v>13</v>
      </c>
      <c r="C202" s="12" t="s">
        <v>209</v>
      </c>
      <c r="D202" s="13">
        <v>24478</v>
      </c>
      <c r="E202" s="11"/>
      <c r="F202" s="13">
        <f t="shared" si="3"/>
        <v>222065</v>
      </c>
    </row>
    <row r="203" spans="1:6" x14ac:dyDescent="0.25">
      <c r="A203" s="10">
        <v>45593</v>
      </c>
      <c r="B203" s="11" t="s">
        <v>13</v>
      </c>
      <c r="C203" s="12" t="s">
        <v>210</v>
      </c>
      <c r="D203" s="13">
        <v>20200</v>
      </c>
      <c r="E203" s="11"/>
      <c r="F203" s="13">
        <f t="shared" si="3"/>
        <v>242265</v>
      </c>
    </row>
    <row r="204" spans="1:6" x14ac:dyDescent="0.25">
      <c r="A204" s="10">
        <v>45593</v>
      </c>
      <c r="B204" s="11" t="s">
        <v>20</v>
      </c>
      <c r="C204" s="12" t="s">
        <v>211</v>
      </c>
      <c r="D204" s="11"/>
      <c r="E204" s="13">
        <v>20200</v>
      </c>
      <c r="F204" s="13">
        <f t="shared" si="3"/>
        <v>222065</v>
      </c>
    </row>
    <row r="205" spans="1:6" x14ac:dyDescent="0.25">
      <c r="A205" s="10">
        <v>45595</v>
      </c>
      <c r="B205" s="11" t="s">
        <v>20</v>
      </c>
      <c r="C205" s="12"/>
      <c r="D205" s="11"/>
      <c r="E205" s="13">
        <v>27306</v>
      </c>
      <c r="F205" s="13">
        <f t="shared" si="3"/>
        <v>194759</v>
      </c>
    </row>
    <row r="206" spans="1:6" x14ac:dyDescent="0.25">
      <c r="A206" s="10">
        <v>45597</v>
      </c>
      <c r="B206" s="11" t="s">
        <v>13</v>
      </c>
      <c r="C206" s="12" t="s">
        <v>212</v>
      </c>
      <c r="D206" s="13">
        <v>49514</v>
      </c>
      <c r="E206" s="11"/>
      <c r="F206" s="13">
        <f t="shared" si="3"/>
        <v>244273</v>
      </c>
    </row>
    <row r="207" spans="1:6" x14ac:dyDescent="0.25">
      <c r="A207" s="10">
        <v>45597</v>
      </c>
      <c r="B207" s="11" t="s">
        <v>13</v>
      </c>
      <c r="C207" s="12" t="s">
        <v>213</v>
      </c>
      <c r="D207" s="13">
        <v>40400</v>
      </c>
      <c r="E207" s="11"/>
      <c r="F207" s="13">
        <f t="shared" si="3"/>
        <v>284673</v>
      </c>
    </row>
    <row r="208" spans="1:6" x14ac:dyDescent="0.25">
      <c r="A208" s="10">
        <v>45598</v>
      </c>
      <c r="B208" s="11" t="s">
        <v>13</v>
      </c>
      <c r="C208" s="12" t="s">
        <v>214</v>
      </c>
      <c r="D208" s="13">
        <v>21294</v>
      </c>
      <c r="E208" s="11"/>
      <c r="F208" s="13">
        <f t="shared" si="3"/>
        <v>305967</v>
      </c>
    </row>
    <row r="209" spans="1:6" x14ac:dyDescent="0.25">
      <c r="A209" s="10">
        <v>45598</v>
      </c>
      <c r="B209" s="11" t="s">
        <v>13</v>
      </c>
      <c r="C209" s="12" t="s">
        <v>215</v>
      </c>
      <c r="D209" s="13">
        <v>16980</v>
      </c>
      <c r="E209" s="11"/>
      <c r="F209" s="13">
        <f t="shared" si="3"/>
        <v>322947</v>
      </c>
    </row>
    <row r="210" spans="1:6" x14ac:dyDescent="0.25">
      <c r="A210" s="10">
        <v>45600</v>
      </c>
      <c r="B210" s="11" t="s">
        <v>13</v>
      </c>
      <c r="C210" s="12" t="s">
        <v>216</v>
      </c>
      <c r="D210" s="13">
        <v>5020</v>
      </c>
      <c r="E210" s="11"/>
      <c r="F210" s="13">
        <f t="shared" si="3"/>
        <v>327967</v>
      </c>
    </row>
    <row r="211" spans="1:6" x14ac:dyDescent="0.25">
      <c r="A211" s="10">
        <v>45600</v>
      </c>
      <c r="B211" s="11" t="s">
        <v>13</v>
      </c>
      <c r="C211" s="12" t="s">
        <v>217</v>
      </c>
      <c r="D211" s="13">
        <v>6055</v>
      </c>
      <c r="E211" s="11"/>
      <c r="F211" s="13">
        <f t="shared" si="3"/>
        <v>334022</v>
      </c>
    </row>
    <row r="212" spans="1:6" ht="45" x14ac:dyDescent="0.25">
      <c r="A212" s="10">
        <v>45601</v>
      </c>
      <c r="B212" s="11" t="s">
        <v>20</v>
      </c>
      <c r="C212" s="12" t="s">
        <v>218</v>
      </c>
      <c r="D212" s="11"/>
      <c r="E212" s="13">
        <v>20000</v>
      </c>
      <c r="F212" s="13">
        <f t="shared" si="3"/>
        <v>314022</v>
      </c>
    </row>
    <row r="213" spans="1:6" x14ac:dyDescent="0.25">
      <c r="A213" s="10">
        <v>45602</v>
      </c>
      <c r="B213" s="11" t="s">
        <v>13</v>
      </c>
      <c r="C213" s="12" t="s">
        <v>219</v>
      </c>
      <c r="D213" s="13">
        <v>2150</v>
      </c>
      <c r="E213" s="11"/>
      <c r="F213" s="13">
        <f t="shared" si="3"/>
        <v>316172</v>
      </c>
    </row>
    <row r="214" spans="1:6" x14ac:dyDescent="0.25">
      <c r="A214" s="10">
        <v>45602</v>
      </c>
      <c r="B214" s="11" t="s">
        <v>13</v>
      </c>
      <c r="C214" s="12" t="s">
        <v>220</v>
      </c>
      <c r="D214" s="13">
        <v>40400</v>
      </c>
      <c r="E214" s="11"/>
      <c r="F214" s="13">
        <f t="shared" si="3"/>
        <v>356572</v>
      </c>
    </row>
    <row r="215" spans="1:6" x14ac:dyDescent="0.25">
      <c r="A215" s="10">
        <v>45603</v>
      </c>
      <c r="B215" s="11" t="s">
        <v>20</v>
      </c>
      <c r="C215" s="12" t="s">
        <v>221</v>
      </c>
      <c r="D215" s="11"/>
      <c r="E215" s="13">
        <v>40400</v>
      </c>
      <c r="F215" s="13">
        <f t="shared" si="3"/>
        <v>316172</v>
      </c>
    </row>
    <row r="216" spans="1:6" ht="45" x14ac:dyDescent="0.25">
      <c r="A216" s="10">
        <v>45603</v>
      </c>
      <c r="B216" s="11" t="s">
        <v>20</v>
      </c>
      <c r="C216" s="12" t="s">
        <v>222</v>
      </c>
      <c r="D216" s="11"/>
      <c r="E216" s="13">
        <v>40000</v>
      </c>
      <c r="F216" s="13">
        <f t="shared" si="3"/>
        <v>276172</v>
      </c>
    </row>
    <row r="217" spans="1:6" ht="30" x14ac:dyDescent="0.25">
      <c r="A217" s="10">
        <v>45603</v>
      </c>
      <c r="B217" s="11" t="s">
        <v>20</v>
      </c>
      <c r="C217" s="12" t="s">
        <v>223</v>
      </c>
      <c r="D217" s="11"/>
      <c r="E217" s="13">
        <v>10000</v>
      </c>
      <c r="F217" s="13">
        <f t="shared" si="3"/>
        <v>266172</v>
      </c>
    </row>
    <row r="218" spans="1:6" x14ac:dyDescent="0.25">
      <c r="A218" s="10">
        <v>45605</v>
      </c>
      <c r="B218" s="11" t="s">
        <v>13</v>
      </c>
      <c r="C218" s="12" t="s">
        <v>224</v>
      </c>
      <c r="D218" s="13">
        <v>2487</v>
      </c>
      <c r="E218" s="11"/>
      <c r="F218" s="13">
        <f t="shared" si="3"/>
        <v>268659</v>
      </c>
    </row>
    <row r="219" spans="1:6" x14ac:dyDescent="0.25">
      <c r="A219" s="10">
        <v>45605</v>
      </c>
      <c r="B219" s="11" t="s">
        <v>13</v>
      </c>
      <c r="C219" s="12" t="s">
        <v>225</v>
      </c>
      <c r="D219" s="13">
        <v>6044</v>
      </c>
      <c r="E219" s="11"/>
      <c r="F219" s="13">
        <f t="shared" si="3"/>
        <v>274703</v>
      </c>
    </row>
    <row r="220" spans="1:6" ht="45" x14ac:dyDescent="0.25">
      <c r="A220" s="10">
        <v>45605</v>
      </c>
      <c r="B220" s="11" t="s">
        <v>20</v>
      </c>
      <c r="C220" s="12" t="s">
        <v>226</v>
      </c>
      <c r="D220" s="11"/>
      <c r="E220" s="13">
        <v>30000</v>
      </c>
      <c r="F220" s="13">
        <f t="shared" si="3"/>
        <v>244703</v>
      </c>
    </row>
    <row r="221" spans="1:6" x14ac:dyDescent="0.25">
      <c r="A221" s="10">
        <v>45608</v>
      </c>
      <c r="B221" s="11" t="s">
        <v>13</v>
      </c>
      <c r="C221" s="12" t="s">
        <v>227</v>
      </c>
      <c r="D221" s="13">
        <v>12700</v>
      </c>
      <c r="E221" s="11"/>
      <c r="F221" s="13">
        <f t="shared" si="3"/>
        <v>257403</v>
      </c>
    </row>
    <row r="222" spans="1:6" x14ac:dyDescent="0.25">
      <c r="A222" s="10">
        <v>45609</v>
      </c>
      <c r="B222" s="11" t="s">
        <v>13</v>
      </c>
      <c r="C222" s="12" t="s">
        <v>228</v>
      </c>
      <c r="D222" s="13">
        <v>2021</v>
      </c>
      <c r="E222" s="11"/>
      <c r="F222" s="13">
        <f t="shared" si="3"/>
        <v>259424</v>
      </c>
    </row>
    <row r="223" spans="1:6" ht="45" x14ac:dyDescent="0.25">
      <c r="A223" s="10">
        <v>45610</v>
      </c>
      <c r="B223" s="11" t="s">
        <v>20</v>
      </c>
      <c r="C223" s="12" t="s">
        <v>229</v>
      </c>
      <c r="D223" s="11"/>
      <c r="E223" s="13">
        <v>38000</v>
      </c>
      <c r="F223" s="13">
        <f t="shared" si="3"/>
        <v>221424</v>
      </c>
    </row>
    <row r="224" spans="1:6" x14ac:dyDescent="0.25">
      <c r="A224" s="10">
        <v>45610</v>
      </c>
      <c r="B224" s="11" t="s">
        <v>20</v>
      </c>
      <c r="C224" s="12" t="s">
        <v>230</v>
      </c>
      <c r="D224" s="11"/>
      <c r="E224" s="13">
        <v>15000</v>
      </c>
      <c r="F224" s="13">
        <f t="shared" si="3"/>
        <v>206424</v>
      </c>
    </row>
    <row r="225" spans="1:6" x14ac:dyDescent="0.25">
      <c r="A225" s="10">
        <v>45612</v>
      </c>
      <c r="B225" s="11" t="s">
        <v>13</v>
      </c>
      <c r="C225" s="12" t="s">
        <v>231</v>
      </c>
      <c r="D225" s="13">
        <v>10226</v>
      </c>
      <c r="E225" s="11"/>
      <c r="F225" s="13">
        <f t="shared" si="3"/>
        <v>216650</v>
      </c>
    </row>
    <row r="226" spans="1:6" x14ac:dyDescent="0.25">
      <c r="A226" s="10">
        <v>45614</v>
      </c>
      <c r="B226" s="11" t="s">
        <v>13</v>
      </c>
      <c r="C226" s="12" t="s">
        <v>232</v>
      </c>
      <c r="D226" s="13">
        <v>24000</v>
      </c>
      <c r="E226" s="11"/>
      <c r="F226" s="13">
        <f t="shared" si="3"/>
        <v>240650</v>
      </c>
    </row>
    <row r="227" spans="1:6" ht="45" x14ac:dyDescent="0.25">
      <c r="A227" s="10">
        <v>45615</v>
      </c>
      <c r="B227" s="11" t="s">
        <v>20</v>
      </c>
      <c r="C227" s="12" t="s">
        <v>233</v>
      </c>
      <c r="D227" s="11"/>
      <c r="E227" s="13">
        <v>70000</v>
      </c>
      <c r="F227" s="13">
        <f t="shared" si="3"/>
        <v>170650</v>
      </c>
    </row>
    <row r="228" spans="1:6" ht="30" x14ac:dyDescent="0.25">
      <c r="A228" s="10">
        <v>45615</v>
      </c>
      <c r="B228" s="11" t="s">
        <v>171</v>
      </c>
      <c r="C228" s="12" t="s">
        <v>234</v>
      </c>
      <c r="D228" s="11"/>
      <c r="E228" s="13">
        <v>52</v>
      </c>
      <c r="F228" s="13">
        <f t="shared" si="3"/>
        <v>170598</v>
      </c>
    </row>
    <row r="229" spans="1:6" x14ac:dyDescent="0.25">
      <c r="A229" s="10">
        <v>45618</v>
      </c>
      <c r="B229" s="11" t="s">
        <v>13</v>
      </c>
      <c r="C229" s="12" t="s">
        <v>235</v>
      </c>
      <c r="D229" s="13">
        <v>2487</v>
      </c>
      <c r="E229" s="11"/>
      <c r="F229" s="13">
        <f t="shared" si="3"/>
        <v>173085</v>
      </c>
    </row>
    <row r="230" spans="1:6" x14ac:dyDescent="0.25">
      <c r="A230" s="10">
        <v>45619</v>
      </c>
      <c r="B230" s="11" t="s">
        <v>13</v>
      </c>
      <c r="C230" s="12" t="s">
        <v>236</v>
      </c>
      <c r="D230" s="13">
        <v>4055</v>
      </c>
      <c r="E230" s="11"/>
      <c r="F230" s="13">
        <f t="shared" si="3"/>
        <v>177140</v>
      </c>
    </row>
    <row r="231" spans="1:6" x14ac:dyDescent="0.25">
      <c r="A231" s="10">
        <v>45619</v>
      </c>
      <c r="B231" s="11" t="s">
        <v>13</v>
      </c>
      <c r="C231" s="12" t="s">
        <v>237</v>
      </c>
      <c r="D231" s="13">
        <v>1680</v>
      </c>
      <c r="E231" s="11"/>
      <c r="F231" s="13">
        <f t="shared" si="3"/>
        <v>178820</v>
      </c>
    </row>
    <row r="232" spans="1:6" x14ac:dyDescent="0.25">
      <c r="A232" s="10">
        <v>45621</v>
      </c>
      <c r="B232" s="11" t="s">
        <v>13</v>
      </c>
      <c r="C232" s="12" t="s">
        <v>238</v>
      </c>
      <c r="D232" s="13">
        <v>4978</v>
      </c>
      <c r="E232" s="11"/>
      <c r="F232" s="13">
        <f t="shared" si="3"/>
        <v>183798</v>
      </c>
    </row>
    <row r="233" spans="1:6" x14ac:dyDescent="0.25">
      <c r="A233" s="10">
        <v>45624</v>
      </c>
      <c r="B233" s="11" t="s">
        <v>13</v>
      </c>
      <c r="C233" s="12" t="s">
        <v>239</v>
      </c>
      <c r="D233" s="13">
        <v>7304</v>
      </c>
      <c r="E233" s="11"/>
      <c r="F233" s="13">
        <f t="shared" si="3"/>
        <v>191102</v>
      </c>
    </row>
    <row r="234" spans="1:6" x14ac:dyDescent="0.25">
      <c r="A234" s="10">
        <v>45625</v>
      </c>
      <c r="B234" s="11" t="s">
        <v>13</v>
      </c>
      <c r="C234" s="12" t="s">
        <v>240</v>
      </c>
      <c r="D234" s="13">
        <v>10298</v>
      </c>
      <c r="E234" s="11"/>
      <c r="F234" s="13">
        <f t="shared" si="3"/>
        <v>201400</v>
      </c>
    </row>
    <row r="235" spans="1:6" x14ac:dyDescent="0.25">
      <c r="A235" s="10">
        <v>45628</v>
      </c>
      <c r="B235" s="11" t="s">
        <v>13</v>
      </c>
      <c r="C235" s="12" t="s">
        <v>241</v>
      </c>
      <c r="D235" s="13">
        <v>9569</v>
      </c>
      <c r="E235" s="11"/>
      <c r="F235" s="13">
        <f t="shared" si="3"/>
        <v>210969</v>
      </c>
    </row>
    <row r="236" spans="1:6" x14ac:dyDescent="0.25">
      <c r="A236" s="10">
        <v>45629</v>
      </c>
      <c r="B236" s="11" t="s">
        <v>13</v>
      </c>
      <c r="C236" s="12" t="s">
        <v>242</v>
      </c>
      <c r="D236" s="13">
        <v>79007</v>
      </c>
      <c r="E236" s="11"/>
      <c r="F236" s="13">
        <f t="shared" si="3"/>
        <v>289976</v>
      </c>
    </row>
    <row r="237" spans="1:6" x14ac:dyDescent="0.25">
      <c r="A237" s="10">
        <v>45629</v>
      </c>
      <c r="B237" s="11" t="s">
        <v>13</v>
      </c>
      <c r="C237" s="12" t="s">
        <v>243</v>
      </c>
      <c r="D237" s="13">
        <v>2300</v>
      </c>
      <c r="E237" s="11"/>
      <c r="F237" s="13">
        <f t="shared" si="3"/>
        <v>292276</v>
      </c>
    </row>
    <row r="238" spans="1:6" x14ac:dyDescent="0.25">
      <c r="A238" s="10">
        <v>45630</v>
      </c>
      <c r="B238" s="11" t="s">
        <v>13</v>
      </c>
      <c r="C238" s="12" t="s">
        <v>244</v>
      </c>
      <c r="D238" s="13">
        <v>14510</v>
      </c>
      <c r="E238" s="11"/>
      <c r="F238" s="13">
        <f t="shared" si="3"/>
        <v>306786</v>
      </c>
    </row>
    <row r="239" spans="1:6" ht="60" x14ac:dyDescent="0.25">
      <c r="A239" s="10">
        <v>45630</v>
      </c>
      <c r="B239" s="11" t="s">
        <v>20</v>
      </c>
      <c r="C239" s="12" t="s">
        <v>245</v>
      </c>
      <c r="D239" s="11"/>
      <c r="E239" s="13">
        <v>150000</v>
      </c>
      <c r="F239" s="13">
        <f t="shared" si="3"/>
        <v>156786</v>
      </c>
    </row>
    <row r="240" spans="1:6" x14ac:dyDescent="0.25">
      <c r="A240" s="10">
        <v>45633</v>
      </c>
      <c r="B240" s="11" t="s">
        <v>13</v>
      </c>
      <c r="C240" s="12" t="s">
        <v>246</v>
      </c>
      <c r="D240" s="13">
        <v>2925</v>
      </c>
      <c r="E240" s="11"/>
      <c r="F240" s="13">
        <f t="shared" si="3"/>
        <v>159711</v>
      </c>
    </row>
    <row r="241" spans="1:6" x14ac:dyDescent="0.25">
      <c r="A241" s="10">
        <v>45635</v>
      </c>
      <c r="B241" s="11" t="s">
        <v>13</v>
      </c>
      <c r="C241" s="12" t="s">
        <v>247</v>
      </c>
      <c r="D241" s="13">
        <v>10135</v>
      </c>
      <c r="E241" s="11"/>
      <c r="F241" s="13">
        <f t="shared" si="3"/>
        <v>169846</v>
      </c>
    </row>
    <row r="242" spans="1:6" x14ac:dyDescent="0.25">
      <c r="A242" s="10">
        <v>45636</v>
      </c>
      <c r="B242" s="11" t="s">
        <v>13</v>
      </c>
      <c r="C242" s="12" t="s">
        <v>248</v>
      </c>
      <c r="D242" s="13">
        <v>35205</v>
      </c>
      <c r="E242" s="11"/>
      <c r="F242" s="13">
        <f t="shared" si="3"/>
        <v>205051</v>
      </c>
    </row>
    <row r="243" spans="1:6" x14ac:dyDescent="0.25">
      <c r="A243" s="10">
        <v>45640</v>
      </c>
      <c r="B243" s="11" t="s">
        <v>13</v>
      </c>
      <c r="C243" s="12" t="s">
        <v>249</v>
      </c>
      <c r="D243" s="13">
        <v>2143</v>
      </c>
      <c r="E243" s="11"/>
      <c r="F243" s="13">
        <f t="shared" si="3"/>
        <v>207194</v>
      </c>
    </row>
    <row r="244" spans="1:6" x14ac:dyDescent="0.25">
      <c r="A244" s="10">
        <v>45642</v>
      </c>
      <c r="B244" s="11" t="s">
        <v>13</v>
      </c>
      <c r="C244" s="12" t="s">
        <v>250</v>
      </c>
      <c r="D244" s="13">
        <v>13560</v>
      </c>
      <c r="E244" s="11"/>
      <c r="F244" s="13">
        <f t="shared" si="3"/>
        <v>220754</v>
      </c>
    </row>
    <row r="245" spans="1:6" x14ac:dyDescent="0.25">
      <c r="A245" s="10">
        <v>45642</v>
      </c>
      <c r="B245" s="11" t="s">
        <v>13</v>
      </c>
      <c r="C245" s="12" t="s">
        <v>251</v>
      </c>
      <c r="D245" s="13">
        <v>21933</v>
      </c>
      <c r="E245" s="11"/>
      <c r="F245" s="13">
        <f t="shared" si="3"/>
        <v>242687</v>
      </c>
    </row>
    <row r="246" spans="1:6" x14ac:dyDescent="0.25">
      <c r="A246" s="10">
        <v>45645</v>
      </c>
      <c r="B246" s="11" t="s">
        <v>13</v>
      </c>
      <c r="C246" s="12" t="s">
        <v>252</v>
      </c>
      <c r="D246" s="13">
        <v>10150</v>
      </c>
      <c r="E246" s="11"/>
      <c r="F246" s="13">
        <f t="shared" si="3"/>
        <v>252837</v>
      </c>
    </row>
    <row r="247" spans="1:6" x14ac:dyDescent="0.25">
      <c r="A247" s="10">
        <v>45647</v>
      </c>
      <c r="B247" s="11" t="s">
        <v>13</v>
      </c>
      <c r="C247" s="12" t="s">
        <v>253</v>
      </c>
      <c r="D247" s="13">
        <v>1611</v>
      </c>
      <c r="E247" s="11"/>
      <c r="F247" s="13">
        <f t="shared" si="3"/>
        <v>254448</v>
      </c>
    </row>
    <row r="248" spans="1:6" x14ac:dyDescent="0.25">
      <c r="A248" s="10">
        <v>45649</v>
      </c>
      <c r="B248" s="11" t="s">
        <v>13</v>
      </c>
      <c r="C248" s="12" t="s">
        <v>254</v>
      </c>
      <c r="D248" s="13">
        <v>16729</v>
      </c>
      <c r="E248" s="11"/>
      <c r="F248" s="13">
        <f t="shared" si="3"/>
        <v>271177</v>
      </c>
    </row>
    <row r="249" spans="1:6" x14ac:dyDescent="0.25">
      <c r="A249" s="10">
        <v>45650</v>
      </c>
      <c r="B249" s="11" t="s">
        <v>13</v>
      </c>
      <c r="C249" s="12" t="s">
        <v>255</v>
      </c>
      <c r="D249" s="13">
        <v>31150</v>
      </c>
      <c r="E249" s="11"/>
      <c r="F249" s="13">
        <f t="shared" si="3"/>
        <v>302327</v>
      </c>
    </row>
    <row r="250" spans="1:6" x14ac:dyDescent="0.25">
      <c r="A250" s="10">
        <v>45650</v>
      </c>
      <c r="B250" s="11" t="s">
        <v>13</v>
      </c>
      <c r="C250" s="12" t="s">
        <v>256</v>
      </c>
      <c r="D250" s="13">
        <v>1687</v>
      </c>
      <c r="E250" s="11"/>
      <c r="F250" s="13">
        <f t="shared" si="3"/>
        <v>304014</v>
      </c>
    </row>
    <row r="251" spans="1:6" x14ac:dyDescent="0.25">
      <c r="A251" s="10">
        <v>45652</v>
      </c>
      <c r="B251" s="11" t="s">
        <v>13</v>
      </c>
      <c r="C251" s="12" t="s">
        <v>257</v>
      </c>
      <c r="D251" s="13">
        <v>20604</v>
      </c>
      <c r="E251" s="11"/>
      <c r="F251" s="13">
        <f t="shared" si="3"/>
        <v>324618</v>
      </c>
    </row>
    <row r="252" spans="1:6" x14ac:dyDescent="0.25">
      <c r="A252" s="10">
        <v>45652</v>
      </c>
      <c r="B252" s="11" t="s">
        <v>13</v>
      </c>
      <c r="C252" s="12" t="s">
        <v>258</v>
      </c>
      <c r="D252" s="13">
        <v>49600</v>
      </c>
      <c r="E252" s="11"/>
      <c r="F252" s="13">
        <f t="shared" si="3"/>
        <v>374218</v>
      </c>
    </row>
    <row r="253" spans="1:6" ht="45" x14ac:dyDescent="0.25">
      <c r="A253" s="10">
        <v>45652</v>
      </c>
      <c r="B253" s="11" t="s">
        <v>20</v>
      </c>
      <c r="C253" s="12" t="s">
        <v>259</v>
      </c>
      <c r="D253" s="11"/>
      <c r="E253" s="13">
        <v>25000</v>
      </c>
      <c r="F253" s="13">
        <f t="shared" si="3"/>
        <v>349218</v>
      </c>
    </row>
    <row r="254" spans="1:6" x14ac:dyDescent="0.25">
      <c r="A254" s="10">
        <v>45653</v>
      </c>
      <c r="B254" s="11" t="s">
        <v>13</v>
      </c>
      <c r="C254" s="12" t="s">
        <v>260</v>
      </c>
      <c r="D254" s="13">
        <v>70518</v>
      </c>
      <c r="E254" s="11"/>
      <c r="F254" s="13">
        <f t="shared" si="3"/>
        <v>419736</v>
      </c>
    </row>
    <row r="255" spans="1:6" x14ac:dyDescent="0.25">
      <c r="A255" s="10">
        <v>45653</v>
      </c>
      <c r="B255" s="11" t="s">
        <v>13</v>
      </c>
      <c r="C255" s="12" t="s">
        <v>261</v>
      </c>
      <c r="D255" s="13">
        <v>15441</v>
      </c>
      <c r="E255" s="11"/>
      <c r="F255" s="13">
        <f t="shared" si="3"/>
        <v>435177</v>
      </c>
    </row>
    <row r="256" spans="1:6" x14ac:dyDescent="0.25">
      <c r="A256" s="10">
        <v>45653</v>
      </c>
      <c r="B256" s="11" t="s">
        <v>13</v>
      </c>
      <c r="C256" s="12" t="s">
        <v>262</v>
      </c>
      <c r="D256" s="13">
        <v>9100</v>
      </c>
      <c r="E256" s="11"/>
      <c r="F256" s="13">
        <f t="shared" si="3"/>
        <v>444277</v>
      </c>
    </row>
    <row r="257" spans="1:6" x14ac:dyDescent="0.25">
      <c r="A257" s="10">
        <v>45653</v>
      </c>
      <c r="B257" s="11" t="s">
        <v>13</v>
      </c>
      <c r="C257" s="12" t="s">
        <v>263</v>
      </c>
      <c r="D257" s="13">
        <v>10600</v>
      </c>
      <c r="E257" s="11"/>
      <c r="F257" s="13">
        <f t="shared" si="3"/>
        <v>454877</v>
      </c>
    </row>
    <row r="258" spans="1:6" x14ac:dyDescent="0.25">
      <c r="A258" s="10">
        <v>45654</v>
      </c>
      <c r="B258" s="11" t="s">
        <v>13</v>
      </c>
      <c r="C258" s="12" t="s">
        <v>264</v>
      </c>
      <c r="D258" s="13">
        <v>19100</v>
      </c>
      <c r="E258" s="11"/>
      <c r="F258" s="13">
        <f t="shared" si="3"/>
        <v>473977</v>
      </c>
    </row>
    <row r="259" spans="1:6" x14ac:dyDescent="0.25">
      <c r="A259" s="10">
        <v>45655</v>
      </c>
      <c r="B259" s="11" t="s">
        <v>13</v>
      </c>
      <c r="C259" s="12" t="s">
        <v>265</v>
      </c>
      <c r="D259" s="13">
        <v>15850</v>
      </c>
      <c r="E259" s="11"/>
      <c r="F259" s="13">
        <f t="shared" si="3"/>
        <v>489827</v>
      </c>
    </row>
    <row r="260" spans="1:6" x14ac:dyDescent="0.25">
      <c r="A260" s="10">
        <v>45655</v>
      </c>
      <c r="B260" s="11" t="s">
        <v>20</v>
      </c>
      <c r="C260" s="12" t="s">
        <v>266</v>
      </c>
      <c r="D260" s="11"/>
      <c r="E260" s="13">
        <v>49600</v>
      </c>
      <c r="F260" s="13">
        <f t="shared" si="3"/>
        <v>440227</v>
      </c>
    </row>
    <row r="261" spans="1:6" x14ac:dyDescent="0.25">
      <c r="A261" s="10">
        <v>45656</v>
      </c>
      <c r="B261" s="11" t="s">
        <v>13</v>
      </c>
      <c r="C261" s="12" t="s">
        <v>267</v>
      </c>
      <c r="D261" s="13">
        <v>14299</v>
      </c>
      <c r="E261" s="11"/>
      <c r="F261" s="13">
        <f t="shared" si="3"/>
        <v>454526</v>
      </c>
    </row>
    <row r="262" spans="1:6" ht="30" x14ac:dyDescent="0.25">
      <c r="A262" s="10">
        <v>45656</v>
      </c>
      <c r="B262" s="11" t="s">
        <v>20</v>
      </c>
      <c r="C262" s="12" t="s">
        <v>268</v>
      </c>
      <c r="D262" s="11"/>
      <c r="E262" s="13">
        <v>12726</v>
      </c>
      <c r="F262" s="13">
        <f t="shared" si="3"/>
        <v>441800</v>
      </c>
    </row>
    <row r="263" spans="1:6" ht="45" x14ac:dyDescent="0.25">
      <c r="A263" s="10">
        <v>45656</v>
      </c>
      <c r="B263" s="11" t="s">
        <v>20</v>
      </c>
      <c r="C263" s="12" t="s">
        <v>269</v>
      </c>
      <c r="D263" s="11"/>
      <c r="E263" s="13">
        <v>30000</v>
      </c>
      <c r="F263" s="13">
        <f t="shared" si="3"/>
        <v>411800</v>
      </c>
    </row>
    <row r="264" spans="1:6" x14ac:dyDescent="0.25">
      <c r="A264" s="10">
        <v>45657</v>
      </c>
      <c r="B264" s="11" t="s">
        <v>13</v>
      </c>
      <c r="C264" s="12" t="s">
        <v>270</v>
      </c>
      <c r="D264" s="13">
        <v>10650</v>
      </c>
      <c r="E264" s="11"/>
      <c r="F264" s="13">
        <f t="shared" si="3"/>
        <v>422450</v>
      </c>
    </row>
    <row r="265" spans="1:6" x14ac:dyDescent="0.25">
      <c r="A265" s="10">
        <v>45657</v>
      </c>
      <c r="B265" s="11" t="s">
        <v>13</v>
      </c>
      <c r="C265" s="12" t="s">
        <v>271</v>
      </c>
      <c r="D265" s="13">
        <v>39725</v>
      </c>
      <c r="E265" s="11"/>
      <c r="F265" s="13">
        <f t="shared" ref="F265:F328" si="4">SUM(F264+D265-E265)</f>
        <v>462175</v>
      </c>
    </row>
    <row r="266" spans="1:6" ht="45" x14ac:dyDescent="0.25">
      <c r="A266" s="10">
        <v>45658</v>
      </c>
      <c r="B266" s="11" t="s">
        <v>20</v>
      </c>
      <c r="C266" s="12" t="s">
        <v>272</v>
      </c>
      <c r="D266" s="11"/>
      <c r="E266" s="13">
        <v>20000</v>
      </c>
      <c r="F266" s="13">
        <f t="shared" si="4"/>
        <v>442175</v>
      </c>
    </row>
    <row r="267" spans="1:6" x14ac:dyDescent="0.25">
      <c r="A267" s="10">
        <v>45659</v>
      </c>
      <c r="B267" s="11" t="s">
        <v>13</v>
      </c>
      <c r="C267" s="12" t="s">
        <v>273</v>
      </c>
      <c r="D267" s="13">
        <v>20725</v>
      </c>
      <c r="E267" s="11"/>
      <c r="F267" s="13">
        <f t="shared" si="4"/>
        <v>462900</v>
      </c>
    </row>
    <row r="268" spans="1:6" x14ac:dyDescent="0.25">
      <c r="A268" s="10">
        <v>45660</v>
      </c>
      <c r="B268" s="11" t="s">
        <v>13</v>
      </c>
      <c r="C268" s="12" t="s">
        <v>274</v>
      </c>
      <c r="D268" s="13">
        <v>22581</v>
      </c>
      <c r="E268" s="11"/>
      <c r="F268" s="13">
        <f t="shared" si="4"/>
        <v>485481</v>
      </c>
    </row>
    <row r="269" spans="1:6" x14ac:dyDescent="0.25">
      <c r="A269" s="10">
        <v>45661</v>
      </c>
      <c r="B269" s="11" t="s">
        <v>13</v>
      </c>
      <c r="C269" s="12" t="s">
        <v>275</v>
      </c>
      <c r="D269" s="13">
        <v>2200</v>
      </c>
      <c r="E269" s="11"/>
      <c r="F269" s="13">
        <f t="shared" si="4"/>
        <v>487681</v>
      </c>
    </row>
    <row r="270" spans="1:6" x14ac:dyDescent="0.25">
      <c r="A270" s="10">
        <v>45661</v>
      </c>
      <c r="B270" s="11" t="s">
        <v>13</v>
      </c>
      <c r="C270" s="12" t="s">
        <v>276</v>
      </c>
      <c r="D270" s="13">
        <v>19450</v>
      </c>
      <c r="E270" s="11"/>
      <c r="F270" s="13">
        <f t="shared" si="4"/>
        <v>507131</v>
      </c>
    </row>
    <row r="271" spans="1:6" x14ac:dyDescent="0.25">
      <c r="A271" s="10">
        <v>45661</v>
      </c>
      <c r="B271" s="11" t="s">
        <v>20</v>
      </c>
      <c r="C271" s="12" t="s">
        <v>277</v>
      </c>
      <c r="D271" s="11"/>
      <c r="E271" s="13">
        <v>33000</v>
      </c>
      <c r="F271" s="13">
        <f t="shared" si="4"/>
        <v>474131</v>
      </c>
    </row>
    <row r="272" spans="1:6" x14ac:dyDescent="0.25">
      <c r="A272" s="10">
        <v>45662</v>
      </c>
      <c r="B272" s="11" t="s">
        <v>20</v>
      </c>
      <c r="C272" s="12" t="s">
        <v>278</v>
      </c>
      <c r="D272" s="11"/>
      <c r="E272" s="13">
        <v>10000</v>
      </c>
      <c r="F272" s="13">
        <f t="shared" si="4"/>
        <v>464131</v>
      </c>
    </row>
    <row r="273" spans="1:6" x14ac:dyDescent="0.25">
      <c r="A273" s="10">
        <v>45663</v>
      </c>
      <c r="B273" s="11" t="s">
        <v>20</v>
      </c>
      <c r="C273" s="12" t="s">
        <v>279</v>
      </c>
      <c r="D273" s="11"/>
      <c r="E273" s="13">
        <v>25000</v>
      </c>
      <c r="F273" s="13">
        <f t="shared" si="4"/>
        <v>439131</v>
      </c>
    </row>
    <row r="274" spans="1:6" x14ac:dyDescent="0.25">
      <c r="A274" s="10">
        <v>45664</v>
      </c>
      <c r="B274" s="11" t="s">
        <v>13</v>
      </c>
      <c r="C274" s="12" t="s">
        <v>280</v>
      </c>
      <c r="D274" s="13">
        <v>3772</v>
      </c>
      <c r="E274" s="11"/>
      <c r="F274" s="13">
        <f t="shared" si="4"/>
        <v>442903</v>
      </c>
    </row>
    <row r="275" spans="1:6" ht="30" x14ac:dyDescent="0.25">
      <c r="A275" s="10">
        <v>45664</v>
      </c>
      <c r="B275" s="11" t="s">
        <v>20</v>
      </c>
      <c r="C275" s="12" t="s">
        <v>281</v>
      </c>
      <c r="D275" s="11"/>
      <c r="E275" s="13">
        <v>10000</v>
      </c>
      <c r="F275" s="13">
        <f t="shared" si="4"/>
        <v>432903</v>
      </c>
    </row>
    <row r="276" spans="1:6" x14ac:dyDescent="0.25">
      <c r="A276" s="10">
        <v>45665</v>
      </c>
      <c r="B276" s="11" t="s">
        <v>20</v>
      </c>
      <c r="C276" s="12" t="s">
        <v>282</v>
      </c>
      <c r="D276" s="11"/>
      <c r="E276" s="13">
        <v>10000</v>
      </c>
      <c r="F276" s="13">
        <f t="shared" si="4"/>
        <v>422903</v>
      </c>
    </row>
    <row r="277" spans="1:6" ht="30" x14ac:dyDescent="0.25">
      <c r="A277" s="10">
        <v>45665</v>
      </c>
      <c r="B277" s="11" t="s">
        <v>20</v>
      </c>
      <c r="C277" s="12" t="s">
        <v>283</v>
      </c>
      <c r="D277" s="11"/>
      <c r="E277" s="13">
        <v>10000</v>
      </c>
      <c r="F277" s="13">
        <f t="shared" si="4"/>
        <v>412903</v>
      </c>
    </row>
    <row r="278" spans="1:6" x14ac:dyDescent="0.25">
      <c r="A278" s="10">
        <v>45667</v>
      </c>
      <c r="B278" s="11" t="s">
        <v>13</v>
      </c>
      <c r="C278" s="12" t="s">
        <v>284</v>
      </c>
      <c r="D278" s="13">
        <v>11669</v>
      </c>
      <c r="E278" s="11"/>
      <c r="F278" s="13">
        <f t="shared" si="4"/>
        <v>424572</v>
      </c>
    </row>
    <row r="279" spans="1:6" x14ac:dyDescent="0.25">
      <c r="A279" s="10">
        <v>45667</v>
      </c>
      <c r="B279" s="11" t="s">
        <v>13</v>
      </c>
      <c r="C279" s="12" t="s">
        <v>285</v>
      </c>
      <c r="D279" s="13">
        <v>19840</v>
      </c>
      <c r="E279" s="11"/>
      <c r="F279" s="13">
        <f t="shared" si="4"/>
        <v>444412</v>
      </c>
    </row>
    <row r="280" spans="1:6" x14ac:dyDescent="0.25">
      <c r="A280" s="10">
        <v>45667</v>
      </c>
      <c r="B280" s="11" t="s">
        <v>13</v>
      </c>
      <c r="C280" s="12" t="s">
        <v>286</v>
      </c>
      <c r="D280" s="13">
        <v>15300</v>
      </c>
      <c r="E280" s="11"/>
      <c r="F280" s="13">
        <f t="shared" si="4"/>
        <v>459712</v>
      </c>
    </row>
    <row r="281" spans="1:6" x14ac:dyDescent="0.25">
      <c r="A281" s="10">
        <v>45668</v>
      </c>
      <c r="B281" s="11" t="s">
        <v>13</v>
      </c>
      <c r="C281" s="12" t="s">
        <v>287</v>
      </c>
      <c r="D281" s="13">
        <v>32720</v>
      </c>
      <c r="E281" s="11"/>
      <c r="F281" s="13">
        <f t="shared" si="4"/>
        <v>492432</v>
      </c>
    </row>
    <row r="282" spans="1:6" ht="60" x14ac:dyDescent="0.25">
      <c r="A282" s="10">
        <v>45670</v>
      </c>
      <c r="B282" s="11" t="s">
        <v>20</v>
      </c>
      <c r="C282" s="12" t="s">
        <v>288</v>
      </c>
      <c r="D282" s="11"/>
      <c r="E282" s="13">
        <v>300000</v>
      </c>
      <c r="F282" s="13">
        <f t="shared" si="4"/>
        <v>192432</v>
      </c>
    </row>
    <row r="283" spans="1:6" ht="30" x14ac:dyDescent="0.25">
      <c r="A283" s="10">
        <v>45678</v>
      </c>
      <c r="B283" s="11" t="s">
        <v>20</v>
      </c>
      <c r="C283" s="12" t="s">
        <v>289</v>
      </c>
      <c r="D283" s="11"/>
      <c r="E283" s="13">
        <v>50000</v>
      </c>
      <c r="F283" s="13">
        <f t="shared" si="4"/>
        <v>142432</v>
      </c>
    </row>
    <row r="284" spans="1:6" x14ac:dyDescent="0.25">
      <c r="A284" s="10">
        <v>45682</v>
      </c>
      <c r="B284" s="11" t="s">
        <v>20</v>
      </c>
      <c r="C284" s="12" t="s">
        <v>290</v>
      </c>
      <c r="D284" s="11"/>
      <c r="E284" s="13">
        <v>10000</v>
      </c>
      <c r="F284" s="13">
        <f t="shared" si="4"/>
        <v>132432</v>
      </c>
    </row>
    <row r="285" spans="1:6" x14ac:dyDescent="0.25">
      <c r="A285" s="10">
        <v>45684</v>
      </c>
      <c r="B285" s="11" t="s">
        <v>13</v>
      </c>
      <c r="C285" s="12" t="s">
        <v>291</v>
      </c>
      <c r="D285" s="13">
        <v>6539</v>
      </c>
      <c r="E285" s="11"/>
      <c r="F285" s="13">
        <f t="shared" si="4"/>
        <v>138971</v>
      </c>
    </row>
    <row r="286" spans="1:6" x14ac:dyDescent="0.25">
      <c r="A286" s="10">
        <v>45684</v>
      </c>
      <c r="B286" s="11" t="s">
        <v>13</v>
      </c>
      <c r="C286" s="12" t="s">
        <v>292</v>
      </c>
      <c r="D286" s="13">
        <v>28640</v>
      </c>
      <c r="E286" s="11"/>
      <c r="F286" s="13">
        <f t="shared" si="4"/>
        <v>167611</v>
      </c>
    </row>
    <row r="287" spans="1:6" x14ac:dyDescent="0.25">
      <c r="A287" s="10">
        <v>45684</v>
      </c>
      <c r="B287" s="11" t="s">
        <v>13</v>
      </c>
      <c r="C287" s="12" t="s">
        <v>293</v>
      </c>
      <c r="D287" s="13">
        <v>2117</v>
      </c>
      <c r="E287" s="11"/>
      <c r="F287" s="13">
        <f t="shared" si="4"/>
        <v>169728</v>
      </c>
    </row>
    <row r="288" spans="1:6" x14ac:dyDescent="0.25">
      <c r="A288" s="10">
        <v>45684</v>
      </c>
      <c r="B288" s="11" t="s">
        <v>13</v>
      </c>
      <c r="C288" s="12" t="s">
        <v>294</v>
      </c>
      <c r="D288" s="13">
        <v>5356</v>
      </c>
      <c r="E288" s="11"/>
      <c r="F288" s="13">
        <f t="shared" si="4"/>
        <v>175084</v>
      </c>
    </row>
    <row r="289" spans="1:6" x14ac:dyDescent="0.25">
      <c r="A289" s="10">
        <v>45686</v>
      </c>
      <c r="B289" s="11" t="s">
        <v>13</v>
      </c>
      <c r="C289" s="12" t="s">
        <v>295</v>
      </c>
      <c r="D289" s="13">
        <v>27065</v>
      </c>
      <c r="E289" s="11"/>
      <c r="F289" s="13">
        <f t="shared" si="4"/>
        <v>202149</v>
      </c>
    </row>
    <row r="290" spans="1:6" ht="30" x14ac:dyDescent="0.25">
      <c r="A290" s="10">
        <v>45686</v>
      </c>
      <c r="B290" s="11" t="s">
        <v>20</v>
      </c>
      <c r="C290" s="12" t="s">
        <v>296</v>
      </c>
      <c r="D290" s="11"/>
      <c r="E290" s="13">
        <v>10000</v>
      </c>
      <c r="F290" s="13">
        <f t="shared" si="4"/>
        <v>192149</v>
      </c>
    </row>
    <row r="291" spans="1:6" x14ac:dyDescent="0.25">
      <c r="A291" s="10">
        <v>45687</v>
      </c>
      <c r="B291" s="11" t="s">
        <v>20</v>
      </c>
      <c r="C291" s="12" t="s">
        <v>297</v>
      </c>
      <c r="D291" s="11"/>
      <c r="E291" s="13">
        <v>10000</v>
      </c>
      <c r="F291" s="13">
        <f t="shared" si="4"/>
        <v>182149</v>
      </c>
    </row>
    <row r="292" spans="1:6" x14ac:dyDescent="0.25">
      <c r="A292" s="10">
        <v>45688</v>
      </c>
      <c r="B292" s="11" t="s">
        <v>13</v>
      </c>
      <c r="C292" s="12" t="s">
        <v>298</v>
      </c>
      <c r="D292" s="13">
        <v>12948</v>
      </c>
      <c r="E292" s="11"/>
      <c r="F292" s="13">
        <f t="shared" si="4"/>
        <v>195097</v>
      </c>
    </row>
    <row r="293" spans="1:6" x14ac:dyDescent="0.25">
      <c r="A293" s="10">
        <v>45688</v>
      </c>
      <c r="B293" s="11" t="s">
        <v>13</v>
      </c>
      <c r="C293" s="12" t="s">
        <v>299</v>
      </c>
      <c r="D293" s="13">
        <v>1608</v>
      </c>
      <c r="E293" s="11"/>
      <c r="F293" s="13">
        <f t="shared" si="4"/>
        <v>196705</v>
      </c>
    </row>
    <row r="294" spans="1:6" x14ac:dyDescent="0.25">
      <c r="A294" s="10">
        <v>45688</v>
      </c>
      <c r="B294" s="11" t="s">
        <v>13</v>
      </c>
      <c r="C294" s="12" t="s">
        <v>300</v>
      </c>
      <c r="D294" s="13">
        <v>29554</v>
      </c>
      <c r="E294" s="11"/>
      <c r="F294" s="13">
        <f t="shared" si="4"/>
        <v>226259</v>
      </c>
    </row>
    <row r="295" spans="1:6" x14ac:dyDescent="0.25">
      <c r="A295" s="10">
        <v>45691</v>
      </c>
      <c r="B295" s="11" t="s">
        <v>13</v>
      </c>
      <c r="C295" s="12" t="s">
        <v>301</v>
      </c>
      <c r="D295" s="13">
        <v>19760</v>
      </c>
      <c r="E295" s="11"/>
      <c r="F295" s="13">
        <f t="shared" si="4"/>
        <v>246019</v>
      </c>
    </row>
    <row r="296" spans="1:6" ht="45" x14ac:dyDescent="0.25">
      <c r="A296" s="10">
        <v>45691</v>
      </c>
      <c r="B296" s="11" t="s">
        <v>20</v>
      </c>
      <c r="C296" s="12" t="s">
        <v>302</v>
      </c>
      <c r="D296" s="11"/>
      <c r="E296" s="13">
        <v>81000</v>
      </c>
      <c r="F296" s="13">
        <f t="shared" si="4"/>
        <v>165019</v>
      </c>
    </row>
    <row r="297" spans="1:6" x14ac:dyDescent="0.25">
      <c r="A297" s="10">
        <v>45693</v>
      </c>
      <c r="B297" s="11" t="s">
        <v>13</v>
      </c>
      <c r="C297" s="12" t="s">
        <v>303</v>
      </c>
      <c r="D297" s="13">
        <v>11873</v>
      </c>
      <c r="E297" s="11"/>
      <c r="F297" s="13">
        <f t="shared" si="4"/>
        <v>176892</v>
      </c>
    </row>
    <row r="298" spans="1:6" x14ac:dyDescent="0.25">
      <c r="A298" s="10">
        <v>45694</v>
      </c>
      <c r="B298" s="11" t="s">
        <v>13</v>
      </c>
      <c r="C298" s="12" t="s">
        <v>304</v>
      </c>
      <c r="D298" s="13">
        <v>30306</v>
      </c>
      <c r="E298" s="11"/>
      <c r="F298" s="13">
        <f t="shared" si="4"/>
        <v>207198</v>
      </c>
    </row>
    <row r="299" spans="1:6" x14ac:dyDescent="0.25">
      <c r="A299" s="10">
        <v>45694</v>
      </c>
      <c r="B299" s="11" t="s">
        <v>13</v>
      </c>
      <c r="C299" s="12" t="s">
        <v>305</v>
      </c>
      <c r="D299" s="13">
        <v>1590</v>
      </c>
      <c r="E299" s="11"/>
      <c r="F299" s="13">
        <f t="shared" si="4"/>
        <v>208788</v>
      </c>
    </row>
    <row r="300" spans="1:6" x14ac:dyDescent="0.25">
      <c r="A300" s="10">
        <v>45698</v>
      </c>
      <c r="B300" s="11" t="s">
        <v>13</v>
      </c>
      <c r="C300" s="12" t="s">
        <v>306</v>
      </c>
      <c r="D300" s="13">
        <v>8209</v>
      </c>
      <c r="E300" s="11"/>
      <c r="F300" s="13">
        <f t="shared" si="4"/>
        <v>216997</v>
      </c>
    </row>
    <row r="301" spans="1:6" x14ac:dyDescent="0.25">
      <c r="A301" s="10">
        <v>45699</v>
      </c>
      <c r="B301" s="11" t="s">
        <v>13</v>
      </c>
      <c r="C301" s="12" t="s">
        <v>307</v>
      </c>
      <c r="D301" s="13">
        <v>5100</v>
      </c>
      <c r="E301" s="11"/>
      <c r="F301" s="13">
        <f t="shared" si="4"/>
        <v>222097</v>
      </c>
    </row>
    <row r="302" spans="1:6" x14ac:dyDescent="0.25">
      <c r="A302" s="10">
        <v>45700</v>
      </c>
      <c r="B302" s="11" t="s">
        <v>13</v>
      </c>
      <c r="C302" s="12" t="s">
        <v>308</v>
      </c>
      <c r="D302" s="13">
        <v>26350</v>
      </c>
      <c r="E302" s="11"/>
      <c r="F302" s="13">
        <f t="shared" si="4"/>
        <v>248447</v>
      </c>
    </row>
    <row r="303" spans="1:6" x14ac:dyDescent="0.25">
      <c r="A303" s="10">
        <v>45702</v>
      </c>
      <c r="B303" s="11" t="s">
        <v>13</v>
      </c>
      <c r="C303" s="12" t="s">
        <v>309</v>
      </c>
      <c r="D303" s="13">
        <v>13779</v>
      </c>
      <c r="E303" s="11"/>
      <c r="F303" s="13">
        <f t="shared" si="4"/>
        <v>262226</v>
      </c>
    </row>
    <row r="304" spans="1:6" x14ac:dyDescent="0.25">
      <c r="A304" s="10">
        <v>45705</v>
      </c>
      <c r="B304" s="11" t="s">
        <v>13</v>
      </c>
      <c r="C304" s="12" t="s">
        <v>310</v>
      </c>
      <c r="D304" s="13">
        <v>31450</v>
      </c>
      <c r="E304" s="11"/>
      <c r="F304" s="13">
        <f t="shared" si="4"/>
        <v>293676</v>
      </c>
    </row>
    <row r="305" spans="1:6" x14ac:dyDescent="0.25">
      <c r="A305" s="10">
        <v>45706</v>
      </c>
      <c r="B305" s="11" t="s">
        <v>13</v>
      </c>
      <c r="C305" s="12" t="s">
        <v>311</v>
      </c>
      <c r="D305" s="13">
        <v>2524</v>
      </c>
      <c r="E305" s="11"/>
      <c r="F305" s="13">
        <f t="shared" si="4"/>
        <v>296200</v>
      </c>
    </row>
    <row r="306" spans="1:6" x14ac:dyDescent="0.25">
      <c r="A306" s="10">
        <v>45709</v>
      </c>
      <c r="B306" s="11" t="s">
        <v>13</v>
      </c>
      <c r="C306" s="12" t="s">
        <v>312</v>
      </c>
      <c r="D306" s="13">
        <v>21147</v>
      </c>
      <c r="E306" s="11"/>
      <c r="F306" s="13">
        <f t="shared" si="4"/>
        <v>317347</v>
      </c>
    </row>
    <row r="307" spans="1:6" x14ac:dyDescent="0.25">
      <c r="A307" s="10">
        <v>45710</v>
      </c>
      <c r="B307" s="11" t="s">
        <v>13</v>
      </c>
      <c r="C307" s="12" t="s">
        <v>313</v>
      </c>
      <c r="D307" s="13">
        <v>4618</v>
      </c>
      <c r="E307" s="11"/>
      <c r="F307" s="13">
        <f t="shared" si="4"/>
        <v>321965</v>
      </c>
    </row>
    <row r="308" spans="1:6" x14ac:dyDescent="0.25">
      <c r="A308" s="10">
        <v>45712</v>
      </c>
      <c r="B308" s="11" t="s">
        <v>13</v>
      </c>
      <c r="C308" s="12" t="s">
        <v>314</v>
      </c>
      <c r="D308" s="13">
        <v>25131</v>
      </c>
      <c r="E308" s="11"/>
      <c r="F308" s="13">
        <f t="shared" si="4"/>
        <v>347096</v>
      </c>
    </row>
    <row r="309" spans="1:6" x14ac:dyDescent="0.25">
      <c r="A309" s="10">
        <v>45712</v>
      </c>
      <c r="B309" s="11" t="s">
        <v>13</v>
      </c>
      <c r="C309" s="12" t="s">
        <v>315</v>
      </c>
      <c r="D309" s="13">
        <v>3073</v>
      </c>
      <c r="E309" s="11"/>
      <c r="F309" s="13">
        <f t="shared" si="4"/>
        <v>350169</v>
      </c>
    </row>
    <row r="310" spans="1:6" x14ac:dyDescent="0.25">
      <c r="A310" s="10">
        <v>45712</v>
      </c>
      <c r="B310" s="11" t="s">
        <v>13</v>
      </c>
      <c r="C310" s="12" t="s">
        <v>316</v>
      </c>
      <c r="D310" s="13">
        <v>1900</v>
      </c>
      <c r="E310" s="11"/>
      <c r="F310" s="13">
        <f t="shared" si="4"/>
        <v>352069</v>
      </c>
    </row>
    <row r="311" spans="1:6" x14ac:dyDescent="0.25">
      <c r="A311" s="10">
        <v>45714</v>
      </c>
      <c r="B311" s="11" t="s">
        <v>13</v>
      </c>
      <c r="C311" s="12" t="s">
        <v>317</v>
      </c>
      <c r="D311" s="11"/>
      <c r="E311" s="11"/>
      <c r="F311" s="13">
        <f t="shared" si="4"/>
        <v>352069</v>
      </c>
    </row>
    <row r="312" spans="1:6" x14ac:dyDescent="0.25">
      <c r="A312" s="10">
        <v>45714</v>
      </c>
      <c r="B312" s="11" t="s">
        <v>13</v>
      </c>
      <c r="C312" s="12" t="s">
        <v>318</v>
      </c>
      <c r="D312" s="13">
        <v>12450</v>
      </c>
      <c r="E312" s="11"/>
      <c r="F312" s="13">
        <f t="shared" si="4"/>
        <v>364519</v>
      </c>
    </row>
    <row r="313" spans="1:6" x14ac:dyDescent="0.25">
      <c r="A313" s="10">
        <v>45715</v>
      </c>
      <c r="B313" s="11" t="s">
        <v>13</v>
      </c>
      <c r="C313" s="12" t="s">
        <v>319</v>
      </c>
      <c r="D313" s="13">
        <v>5350</v>
      </c>
      <c r="E313" s="11"/>
      <c r="F313" s="13">
        <f t="shared" si="4"/>
        <v>369869</v>
      </c>
    </row>
    <row r="314" spans="1:6" ht="60" x14ac:dyDescent="0.25">
      <c r="A314" s="10">
        <v>45715</v>
      </c>
      <c r="B314" s="11" t="s">
        <v>20</v>
      </c>
      <c r="C314" s="12" t="s">
        <v>320</v>
      </c>
      <c r="D314" s="11"/>
      <c r="E314" s="13">
        <v>200000</v>
      </c>
      <c r="F314" s="13">
        <f t="shared" si="4"/>
        <v>169869</v>
      </c>
    </row>
    <row r="315" spans="1:6" x14ac:dyDescent="0.25">
      <c r="A315" s="10">
        <v>45716</v>
      </c>
      <c r="B315" s="11" t="s">
        <v>13</v>
      </c>
      <c r="C315" s="12" t="s">
        <v>321</v>
      </c>
      <c r="D315" s="13">
        <v>2200</v>
      </c>
      <c r="E315" s="11"/>
      <c r="F315" s="13">
        <f t="shared" si="4"/>
        <v>172069</v>
      </c>
    </row>
    <row r="316" spans="1:6" x14ac:dyDescent="0.25">
      <c r="A316" s="10">
        <v>45717</v>
      </c>
      <c r="B316" s="11" t="s">
        <v>13</v>
      </c>
      <c r="C316" s="12" t="s">
        <v>322</v>
      </c>
      <c r="D316" s="13">
        <v>7320</v>
      </c>
      <c r="E316" s="11"/>
      <c r="F316" s="13">
        <f t="shared" si="4"/>
        <v>179389</v>
      </c>
    </row>
    <row r="317" spans="1:6" x14ac:dyDescent="0.25">
      <c r="A317" s="10">
        <v>45717</v>
      </c>
      <c r="B317" s="11" t="s">
        <v>13</v>
      </c>
      <c r="C317" s="12" t="s">
        <v>323</v>
      </c>
      <c r="D317" s="13">
        <v>2572</v>
      </c>
      <c r="E317" s="11"/>
      <c r="F317" s="13">
        <f t="shared" si="4"/>
        <v>181961</v>
      </c>
    </row>
    <row r="318" spans="1:6" x14ac:dyDescent="0.25">
      <c r="A318" s="10">
        <v>45719</v>
      </c>
      <c r="B318" s="11" t="s">
        <v>13</v>
      </c>
      <c r="C318" s="12" t="s">
        <v>324</v>
      </c>
      <c r="D318" s="13">
        <v>19040</v>
      </c>
      <c r="E318" s="11"/>
      <c r="F318" s="13">
        <f t="shared" si="4"/>
        <v>201001</v>
      </c>
    </row>
    <row r="319" spans="1:6" x14ac:dyDescent="0.25">
      <c r="A319" s="10">
        <v>45719</v>
      </c>
      <c r="B319" s="11" t="s">
        <v>13</v>
      </c>
      <c r="C319" s="12" t="s">
        <v>325</v>
      </c>
      <c r="D319" s="13">
        <v>2314</v>
      </c>
      <c r="E319" s="11"/>
      <c r="F319" s="13">
        <f t="shared" si="4"/>
        <v>203315</v>
      </c>
    </row>
    <row r="320" spans="1:6" x14ac:dyDescent="0.25">
      <c r="A320" s="10">
        <v>45723</v>
      </c>
      <c r="B320" s="11" t="s">
        <v>13</v>
      </c>
      <c r="C320" s="12" t="s">
        <v>326</v>
      </c>
      <c r="D320" s="13">
        <v>41476</v>
      </c>
      <c r="E320" s="11"/>
      <c r="F320" s="13">
        <f t="shared" si="4"/>
        <v>244791</v>
      </c>
    </row>
    <row r="321" spans="1:6" x14ac:dyDescent="0.25">
      <c r="A321" s="10">
        <v>45724</v>
      </c>
      <c r="B321" s="11" t="s">
        <v>13</v>
      </c>
      <c r="C321" s="12" t="s">
        <v>327</v>
      </c>
      <c r="D321" s="13">
        <v>22310</v>
      </c>
      <c r="E321" s="11"/>
      <c r="F321" s="13">
        <f t="shared" si="4"/>
        <v>267101</v>
      </c>
    </row>
    <row r="322" spans="1:6" x14ac:dyDescent="0.25">
      <c r="A322" s="10">
        <v>45726</v>
      </c>
      <c r="B322" s="11" t="s">
        <v>13</v>
      </c>
      <c r="C322" s="12" t="s">
        <v>328</v>
      </c>
      <c r="D322" s="13">
        <v>6522</v>
      </c>
      <c r="E322" s="11"/>
      <c r="F322" s="13">
        <f t="shared" si="4"/>
        <v>273623</v>
      </c>
    </row>
    <row r="323" spans="1:6" x14ac:dyDescent="0.25">
      <c r="A323" s="10">
        <v>45726</v>
      </c>
      <c r="B323" s="11" t="s">
        <v>13</v>
      </c>
      <c r="C323" s="12" t="s">
        <v>329</v>
      </c>
      <c r="D323" s="13">
        <v>4058</v>
      </c>
      <c r="E323" s="11"/>
      <c r="F323" s="13">
        <f t="shared" si="4"/>
        <v>277681</v>
      </c>
    </row>
    <row r="324" spans="1:6" x14ac:dyDescent="0.25">
      <c r="A324" s="10">
        <v>45728</v>
      </c>
      <c r="B324" s="11" t="s">
        <v>13</v>
      </c>
      <c r="C324" s="12" t="s">
        <v>330</v>
      </c>
      <c r="D324" s="13">
        <v>21415</v>
      </c>
      <c r="E324" s="11"/>
      <c r="F324" s="13">
        <f t="shared" si="4"/>
        <v>299096</v>
      </c>
    </row>
    <row r="325" spans="1:6" x14ac:dyDescent="0.25">
      <c r="A325" s="10">
        <v>45729</v>
      </c>
      <c r="B325" s="11" t="s">
        <v>13</v>
      </c>
      <c r="C325" s="12" t="s">
        <v>331</v>
      </c>
      <c r="D325" s="13">
        <v>29040</v>
      </c>
      <c r="E325" s="11"/>
      <c r="F325" s="13">
        <f t="shared" si="4"/>
        <v>328136</v>
      </c>
    </row>
    <row r="326" spans="1:6" x14ac:dyDescent="0.25">
      <c r="A326" s="10">
        <v>45730</v>
      </c>
      <c r="B326" s="11" t="s">
        <v>13</v>
      </c>
      <c r="C326" s="12" t="s">
        <v>332</v>
      </c>
      <c r="D326" s="13">
        <v>9042</v>
      </c>
      <c r="E326" s="11"/>
      <c r="F326" s="13">
        <f t="shared" si="4"/>
        <v>337178</v>
      </c>
    </row>
    <row r="327" spans="1:6" x14ac:dyDescent="0.25">
      <c r="A327" s="10">
        <v>45730</v>
      </c>
      <c r="B327" s="11" t="s">
        <v>13</v>
      </c>
      <c r="C327" s="12" t="s">
        <v>333</v>
      </c>
      <c r="D327" s="13">
        <v>4063</v>
      </c>
      <c r="E327" s="11"/>
      <c r="F327" s="13">
        <f t="shared" si="4"/>
        <v>341241</v>
      </c>
    </row>
    <row r="328" spans="1:6" x14ac:dyDescent="0.25">
      <c r="A328" s="10">
        <v>45730</v>
      </c>
      <c r="B328" s="11" t="s">
        <v>13</v>
      </c>
      <c r="C328" s="12" t="s">
        <v>334</v>
      </c>
      <c r="D328" s="13">
        <v>42200</v>
      </c>
      <c r="E328" s="11"/>
      <c r="F328" s="13">
        <f t="shared" si="4"/>
        <v>383441</v>
      </c>
    </row>
    <row r="329" spans="1:6" x14ac:dyDescent="0.25">
      <c r="A329" s="10">
        <v>45731</v>
      </c>
      <c r="B329" s="11" t="s">
        <v>13</v>
      </c>
      <c r="C329" s="12" t="s">
        <v>335</v>
      </c>
      <c r="D329" s="13">
        <v>19025</v>
      </c>
      <c r="E329" s="11"/>
      <c r="F329" s="13">
        <f t="shared" ref="F329:F351" si="5">SUM(F328+D329-E329)</f>
        <v>402466</v>
      </c>
    </row>
    <row r="330" spans="1:6" ht="30" x14ac:dyDescent="0.25">
      <c r="A330" s="10">
        <v>45731</v>
      </c>
      <c r="B330" s="11" t="s">
        <v>20</v>
      </c>
      <c r="C330" s="12" t="s">
        <v>336</v>
      </c>
      <c r="D330" s="11"/>
      <c r="E330" s="13">
        <v>50000</v>
      </c>
      <c r="F330" s="13">
        <f t="shared" si="5"/>
        <v>352466</v>
      </c>
    </row>
    <row r="331" spans="1:6" x14ac:dyDescent="0.25">
      <c r="A331" s="10">
        <v>45733</v>
      </c>
      <c r="B331" s="11" t="s">
        <v>13</v>
      </c>
      <c r="C331" s="12" t="s">
        <v>337</v>
      </c>
      <c r="D331" s="13">
        <v>36440</v>
      </c>
      <c r="E331" s="11"/>
      <c r="F331" s="13">
        <f t="shared" si="5"/>
        <v>388906</v>
      </c>
    </row>
    <row r="332" spans="1:6" x14ac:dyDescent="0.25">
      <c r="A332" s="10">
        <v>45733</v>
      </c>
      <c r="B332" s="11" t="s">
        <v>13</v>
      </c>
      <c r="C332" s="12" t="s">
        <v>338</v>
      </c>
      <c r="D332" s="13">
        <v>2866</v>
      </c>
      <c r="E332" s="11"/>
      <c r="F332" s="13">
        <f t="shared" si="5"/>
        <v>391772</v>
      </c>
    </row>
    <row r="333" spans="1:6" x14ac:dyDescent="0.25">
      <c r="A333" s="10">
        <v>45736</v>
      </c>
      <c r="B333" s="11" t="s">
        <v>13</v>
      </c>
      <c r="C333" s="12" t="s">
        <v>339</v>
      </c>
      <c r="D333" s="13">
        <v>8092</v>
      </c>
      <c r="E333" s="11"/>
      <c r="F333" s="13">
        <f t="shared" si="5"/>
        <v>399864</v>
      </c>
    </row>
    <row r="334" spans="1:6" x14ac:dyDescent="0.25">
      <c r="A334" s="10">
        <v>45738</v>
      </c>
      <c r="B334" s="11" t="s">
        <v>13</v>
      </c>
      <c r="C334" s="12" t="s">
        <v>340</v>
      </c>
      <c r="D334" s="13">
        <v>21200</v>
      </c>
      <c r="E334" s="11"/>
      <c r="F334" s="13">
        <f t="shared" si="5"/>
        <v>421064</v>
      </c>
    </row>
    <row r="335" spans="1:6" x14ac:dyDescent="0.25">
      <c r="A335" s="10">
        <v>45738</v>
      </c>
      <c r="B335" s="11" t="s">
        <v>13</v>
      </c>
      <c r="C335" s="12" t="s">
        <v>341</v>
      </c>
      <c r="D335" s="13">
        <v>1240</v>
      </c>
      <c r="E335" s="11"/>
      <c r="F335" s="13">
        <f t="shared" si="5"/>
        <v>422304</v>
      </c>
    </row>
    <row r="336" spans="1:6" x14ac:dyDescent="0.25">
      <c r="A336" s="10">
        <v>45738</v>
      </c>
      <c r="B336" s="11" t="s">
        <v>13</v>
      </c>
      <c r="C336" s="12" t="s">
        <v>342</v>
      </c>
      <c r="D336" s="13">
        <v>21240</v>
      </c>
      <c r="E336" s="11"/>
      <c r="F336" s="13">
        <f t="shared" si="5"/>
        <v>443544</v>
      </c>
    </row>
    <row r="337" spans="1:6" x14ac:dyDescent="0.25">
      <c r="A337" s="10">
        <v>45740</v>
      </c>
      <c r="B337" s="11" t="s">
        <v>13</v>
      </c>
      <c r="C337" s="12" t="s">
        <v>343</v>
      </c>
      <c r="D337" s="13">
        <v>3060</v>
      </c>
      <c r="E337" s="11"/>
      <c r="F337" s="13">
        <f t="shared" si="5"/>
        <v>446604</v>
      </c>
    </row>
    <row r="338" spans="1:6" x14ac:dyDescent="0.25">
      <c r="A338" s="10">
        <v>45740</v>
      </c>
      <c r="B338" s="11" t="s">
        <v>13</v>
      </c>
      <c r="C338" s="12" t="s">
        <v>344</v>
      </c>
      <c r="D338" s="13">
        <v>5859</v>
      </c>
      <c r="E338" s="11"/>
      <c r="F338" s="13">
        <f t="shared" si="5"/>
        <v>452463</v>
      </c>
    </row>
    <row r="339" spans="1:6" x14ac:dyDescent="0.25">
      <c r="A339" s="10">
        <v>45741</v>
      </c>
      <c r="B339" s="11" t="s">
        <v>13</v>
      </c>
      <c r="C339" s="12" t="s">
        <v>345</v>
      </c>
      <c r="D339" s="13">
        <v>48599</v>
      </c>
      <c r="E339" s="11"/>
      <c r="F339" s="13">
        <f t="shared" si="5"/>
        <v>501062</v>
      </c>
    </row>
    <row r="340" spans="1:6" x14ac:dyDescent="0.25">
      <c r="A340" s="10">
        <v>45742</v>
      </c>
      <c r="B340" s="11" t="s">
        <v>13</v>
      </c>
      <c r="C340" s="12" t="s">
        <v>346</v>
      </c>
      <c r="D340" s="13">
        <v>3100</v>
      </c>
      <c r="E340" s="11"/>
      <c r="F340" s="13">
        <f t="shared" si="5"/>
        <v>504162</v>
      </c>
    </row>
    <row r="341" spans="1:6" x14ac:dyDescent="0.25">
      <c r="A341" s="10">
        <v>45743</v>
      </c>
      <c r="B341" s="11" t="s">
        <v>13</v>
      </c>
      <c r="C341" s="12" t="s">
        <v>347</v>
      </c>
      <c r="D341" s="13">
        <v>21000</v>
      </c>
      <c r="E341" s="11"/>
      <c r="F341" s="13">
        <f t="shared" si="5"/>
        <v>525162</v>
      </c>
    </row>
    <row r="342" spans="1:6" x14ac:dyDescent="0.25">
      <c r="A342" s="10">
        <v>45743</v>
      </c>
      <c r="B342" s="11" t="s">
        <v>20</v>
      </c>
      <c r="C342" s="12" t="s">
        <v>348</v>
      </c>
      <c r="D342" s="11"/>
      <c r="E342" s="13">
        <v>21000</v>
      </c>
      <c r="F342" s="13">
        <f t="shared" si="5"/>
        <v>504162</v>
      </c>
    </row>
    <row r="343" spans="1:6" x14ac:dyDescent="0.25">
      <c r="A343" s="10">
        <v>45744</v>
      </c>
      <c r="B343" s="11" t="s">
        <v>13</v>
      </c>
      <c r="C343" s="12" t="s">
        <v>349</v>
      </c>
      <c r="D343" s="13">
        <v>45363</v>
      </c>
      <c r="E343" s="11"/>
      <c r="F343" s="13">
        <f t="shared" si="5"/>
        <v>549525</v>
      </c>
    </row>
    <row r="344" spans="1:6" x14ac:dyDescent="0.25">
      <c r="A344" s="10">
        <v>45744</v>
      </c>
      <c r="B344" s="11" t="s">
        <v>13</v>
      </c>
      <c r="C344" s="12" t="s">
        <v>350</v>
      </c>
      <c r="D344" s="13">
        <v>10502</v>
      </c>
      <c r="E344" s="11"/>
      <c r="F344" s="13">
        <f t="shared" si="5"/>
        <v>560027</v>
      </c>
    </row>
    <row r="345" spans="1:6" x14ac:dyDescent="0.25">
      <c r="A345" s="10">
        <v>45744</v>
      </c>
      <c r="B345" s="11" t="s">
        <v>13</v>
      </c>
      <c r="C345" s="12" t="s">
        <v>351</v>
      </c>
      <c r="D345" s="13">
        <v>35425</v>
      </c>
      <c r="E345" s="11"/>
      <c r="F345" s="13">
        <f t="shared" si="5"/>
        <v>595452</v>
      </c>
    </row>
    <row r="346" spans="1:6" ht="30" x14ac:dyDescent="0.25">
      <c r="A346" s="10">
        <v>45744</v>
      </c>
      <c r="B346" s="11" t="s">
        <v>20</v>
      </c>
      <c r="C346" s="12" t="s">
        <v>352</v>
      </c>
      <c r="D346" s="11"/>
      <c r="E346" s="13">
        <v>21000</v>
      </c>
      <c r="F346" s="13">
        <f t="shared" si="5"/>
        <v>574452</v>
      </c>
    </row>
    <row r="347" spans="1:6" x14ac:dyDescent="0.25">
      <c r="A347" s="10">
        <v>45744</v>
      </c>
      <c r="B347" s="11" t="s">
        <v>20</v>
      </c>
      <c r="C347" s="12" t="s">
        <v>353</v>
      </c>
      <c r="D347" s="11"/>
      <c r="E347" s="13">
        <v>11000</v>
      </c>
      <c r="F347" s="13">
        <f t="shared" si="5"/>
        <v>563452</v>
      </c>
    </row>
    <row r="348" spans="1:6" x14ac:dyDescent="0.25">
      <c r="A348" s="10">
        <v>45745</v>
      </c>
      <c r="B348" s="11" t="s">
        <v>13</v>
      </c>
      <c r="C348" s="12" t="s">
        <v>354</v>
      </c>
      <c r="D348" s="13">
        <v>6630</v>
      </c>
      <c r="E348" s="11"/>
      <c r="F348" s="13">
        <f t="shared" si="5"/>
        <v>570082</v>
      </c>
    </row>
    <row r="349" spans="1:6" x14ac:dyDescent="0.25">
      <c r="A349" s="10">
        <v>45745</v>
      </c>
      <c r="B349" s="11" t="s">
        <v>20</v>
      </c>
      <c r="C349" s="12" t="s">
        <v>355</v>
      </c>
      <c r="D349" s="11"/>
      <c r="E349" s="13">
        <v>21200</v>
      </c>
      <c r="F349" s="13">
        <f t="shared" si="5"/>
        <v>548882</v>
      </c>
    </row>
    <row r="350" spans="1:6" x14ac:dyDescent="0.25">
      <c r="A350" s="10">
        <v>45747</v>
      </c>
      <c r="B350" s="11" t="s">
        <v>13</v>
      </c>
      <c r="C350" s="12" t="s">
        <v>356</v>
      </c>
      <c r="D350" s="13">
        <v>10840</v>
      </c>
      <c r="E350" s="11"/>
      <c r="F350" s="13">
        <f t="shared" si="5"/>
        <v>559722</v>
      </c>
    </row>
    <row r="351" spans="1:6" ht="45" x14ac:dyDescent="0.25">
      <c r="A351" s="10">
        <v>45747</v>
      </c>
      <c r="B351" s="11" t="s">
        <v>20</v>
      </c>
      <c r="C351" s="12" t="s">
        <v>357</v>
      </c>
      <c r="D351" s="11"/>
      <c r="E351" s="13">
        <v>34000</v>
      </c>
      <c r="F351" s="13">
        <f t="shared" si="5"/>
        <v>525722</v>
      </c>
    </row>
    <row r="352" spans="1:6" x14ac:dyDescent="0.25">
      <c r="A352" s="8"/>
      <c r="B352" s="8"/>
      <c r="C352" s="8" t="s">
        <v>358</v>
      </c>
      <c r="D352" s="9">
        <f>SUM(D8:D351)</f>
        <v>3548641</v>
      </c>
      <c r="E352" s="9">
        <f>SUM(E8:E351)</f>
        <v>3022919</v>
      </c>
      <c r="F352" s="9">
        <f>SUM(D352-E352)</f>
        <v>525722</v>
      </c>
    </row>
  </sheetData>
  <mergeCells count="6">
    <mergeCell ref="A6:F6"/>
    <mergeCell ref="A1:F1"/>
    <mergeCell ref="A2:F2"/>
    <mergeCell ref="A3:F3"/>
    <mergeCell ref="A4:F4"/>
    <mergeCell ref="A5:F5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2025-10-05T12:57:01Z</dcterms:created>
  <dcterms:modified xsi:type="dcterms:W3CDTF">2025-10-05T12:57:59Z</dcterms:modified>
</cp:coreProperties>
</file>
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Ledger" sheetId="2" r:id="rId1"/>
  </sheets>
  <calcPr calcId="152511"/>
</workbook>
</file>

<file path=xl/calcChain.xml><?xml version="1.0" encoding="utf-8"?>
<calcChain xmlns="http://schemas.openxmlformats.org/spreadsheetml/2006/main">
  <c r="F8" i="2" l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D106" i="2"/>
  <c r="E106" i="2"/>
  <c r="F106" i="2" l="1"/>
</calcChain>
</file>

<file path=xl/sharedStrings.xml><?xml version="1.0" encoding="utf-8"?>
<sst xmlns="http://schemas.openxmlformats.org/spreadsheetml/2006/main" count="210" uniqueCount="114">
  <si>
    <t>SRI VENKATESWARA AGENCIES</t>
  </si>
  <si>
    <t>Phone : 9032300385 E-Mail : sesha8sai@gmail.com</t>
  </si>
  <si>
    <t>SRI VALLIDEVASENA MARKETING-NELLORE</t>
  </si>
  <si>
    <t>28/1/10016, NEAR DGP KALYANA MANDAPAM MYPADU ROAD, Nellore Potti Sriramulu Nellore, Andhra Pradesh</t>
  </si>
  <si>
    <t>01-04-2024 - 31-03-2025</t>
  </si>
  <si>
    <t xml:space="preserve"> </t>
  </si>
  <si>
    <t>Date</t>
  </si>
  <si>
    <t>Type</t>
  </si>
  <si>
    <t>Particulars</t>
  </si>
  <si>
    <t>Debit</t>
  </si>
  <si>
    <t>Credit</t>
  </si>
  <si>
    <t>Balance</t>
  </si>
  <si>
    <t xml:space="preserve">Pymt      </t>
  </si>
  <si>
    <t>N116243004079648 Ag. DSLF25</t>
  </si>
  <si>
    <t xml:space="preserve">Purc      </t>
  </si>
  <si>
    <t>Bill No. DSLF25 Dt. 03-05-2024 Entry No.P000037</t>
  </si>
  <si>
    <t>Bill No. DIBL276532400055 Dt. 22-05-2024 Entry No.P000099</t>
  </si>
  <si>
    <t>Bill No. DIBL276532400054 Dt. 22-05-2024 Entry No.P000100</t>
  </si>
  <si>
    <t>Bill No. DSLF49 Dt. 27-05-2024 Adj.in</t>
  </si>
  <si>
    <t>N145243054091134</t>
  </si>
  <si>
    <t>Bill No. DIBL276532400074 Dt. 29-05-2024 Entry No.P000119</t>
  </si>
  <si>
    <t>Bill No. DIBL276532400107 Dt. 06-06-2024 Entry No.P000140</t>
  </si>
  <si>
    <t>N160243084000290 Ag. DIBL276532400055,DIBL276532400054</t>
  </si>
  <si>
    <t>Bill No. DIBL276532400162 Dt. 17-06-2024 Entry No.P000169</t>
  </si>
  <si>
    <t>Bill No. DSIF63 Dt. 17-06-2024 Adj.in</t>
  </si>
  <si>
    <t>N167243097341979 DS GROUP</t>
  </si>
  <si>
    <t>Bill No. DIBL276532400173 Dt. 17-06-2024 Entry No.P000170</t>
  </si>
  <si>
    <t>Bill No. DIBL276532400239 Dt. 29-06-2024 Entry No.P000200</t>
  </si>
  <si>
    <t>Bill No. DIBL276532400279 Dt. 08-07-2024 Entry No.P000221</t>
  </si>
  <si>
    <t>Bill No. DIBL276532400308 Dt. 20-07-2024 Entry No.P000248</t>
  </si>
  <si>
    <t>Bill No. Dslf94 Dt. 17-07-2024 Adj.in</t>
  </si>
  <si>
    <t>N193243147384820</t>
  </si>
  <si>
    <t>SBIN424198985150 Ag. DIBL276532400074</t>
  </si>
  <si>
    <t>SBINR12024071635984168 Ag. DIBL276532400162,DIBL276532400173,DIBL276532400239</t>
  </si>
  <si>
    <t>N204243163243756 Ag. DSLF25,Dslf94</t>
  </si>
  <si>
    <t>SBIN124204017124 Ag. DIBL276532400107</t>
  </si>
  <si>
    <t>SBIN524204640132 Ag. DIBL276532400107</t>
  </si>
  <si>
    <t>SBINR12024072237056966 Ag. DIBL276532400239</t>
  </si>
  <si>
    <t>Bill No. DIBL276532400394 Dt. 05-08-2024 Entry No.P000285</t>
  </si>
  <si>
    <t>N222243200202149</t>
  </si>
  <si>
    <t>SBINR12024080940978382 Ag. DIBL276532400394</t>
  </si>
  <si>
    <t>Bill No. DSLF130 Dt. 14-08-2024 Adj.in</t>
  </si>
  <si>
    <t>Bill No. DIBL276532400449 Dt. 17-08-2024 Entry No.P000322</t>
  </si>
  <si>
    <t>TO TRANSFER-INB RTGS UTR NO: SBINR12024081742373628--SRI VALLIDEVASENA MA Ag. DIBL276532400308</t>
  </si>
  <si>
    <t>SBIN224234155791 Ag. DIBL276532400308</t>
  </si>
  <si>
    <t>Bill No. DIBL276532400485 Dt. 28-08-2024 Entry No.P000353</t>
  </si>
  <si>
    <t>Bill No. DIBL276532400516 Dt. 10-09-2024 Entry No.P000381</t>
  </si>
  <si>
    <t>Bill No. DIBL276532400550 Dt. 10-09-2024 Entry No.P000382</t>
  </si>
  <si>
    <t>DS GROUP - N248243245072721</t>
  </si>
  <si>
    <t>SBIN324248970264 Ag. DIBL276532400449</t>
  </si>
  <si>
    <t>Bill No. DSLF184 Dt. 10-09-2024 Adj.in</t>
  </si>
  <si>
    <t>Bill No. DIBL276532400564 Dt. 16-09-2024 Entry No.P000399</t>
  </si>
  <si>
    <t>Bill No. DIBL276532400580 Dt. 16-09-2024 Entry No.P000400</t>
  </si>
  <si>
    <t>SBIN424262089970 Ag. DSLF184,DIBL276532400485</t>
  </si>
  <si>
    <t>Bill No. DIBL276532400657 Dt. 25-09-2024 Entry No.P000425</t>
  </si>
  <si>
    <t>Bill No. DIBL276532400640 Dt. 25-09-2024 Entry No.P000426</t>
  </si>
  <si>
    <t>RRR2682475241004 Ag. DIBL276532400516,DIBL276532400550</t>
  </si>
  <si>
    <t xml:space="preserve">D/n       </t>
  </si>
  <si>
    <t>D/N No. PULSE SHOTS CREDIT NOTE Ag. DSLF235</t>
  </si>
  <si>
    <t>Bill No. DIBL276532400699 Dt. 09-10-2024 Entry No.P000457</t>
  </si>
  <si>
    <t>Bill No. DSLF235 Dt. 07-10-2024 Adj.in</t>
  </si>
  <si>
    <t>N281243312641219</t>
  </si>
  <si>
    <t>RRR2812475975166 Ag. DIBL276532400279,DIBL276532400449,DIBL276532400485,DIBL276532400564,DIBL</t>
  </si>
  <si>
    <t>SBIN324289108260 Ag. DIBL276532400640</t>
  </si>
  <si>
    <t>Bill No. DIBL276532400730 Dt. 19-10-2024 Entry No.P000483</t>
  </si>
  <si>
    <t>N297243348970765 Ag. DIBL276532400657</t>
  </si>
  <si>
    <t>Bill No. DIBL276532400783 Dt. 02-11-2024 Entry No.P000523</t>
  </si>
  <si>
    <t>Bill No. DIBL276532400791 Dt. 02-11-2024 Entry No.P000524</t>
  </si>
  <si>
    <t>SBIN124306128346 Ag. DIBL276532400699</t>
  </si>
  <si>
    <t>Bill No. DIBL276532400851 Dt. 09-11-2024 Entry No.P000539</t>
  </si>
  <si>
    <t>Bill No. DSLF288 Dt. 09-11-2024 Adj.in</t>
  </si>
  <si>
    <t>N313243384904822</t>
  </si>
  <si>
    <t>SBIN124316517479 Ag. DIBL276532400730</t>
  </si>
  <si>
    <t>Bill No. DIBL276532400875 Dt. 22-11-2024 Entry No.P000580</t>
  </si>
  <si>
    <t>Bill No. DIBL276532400874 Dt. 22-11-2024 Entry No.P000581</t>
  </si>
  <si>
    <t>N320243400782768 Ag. DIBL276532400791</t>
  </si>
  <si>
    <t>N321243401829599 Ag. DIBL276532400783</t>
  </si>
  <si>
    <t>Bill No. DIBL276532400931 Dt. 05-12-2024 Entry No.P000611</t>
  </si>
  <si>
    <t>SBIN424333176871 Ag. DIBL276532400783,DIBL276532400851</t>
  </si>
  <si>
    <t>Bill No. DIBL276532400951 Dt. 05-12-2024 Entry No.P000610</t>
  </si>
  <si>
    <t>Bill No. DSLF340 Dt. 05-12-2024 Adj.in</t>
  </si>
  <si>
    <t>N339243434367758</t>
  </si>
  <si>
    <t>Bill No. DIBL276532401014 Dt. 21-12-2024 Entry No.P000669</t>
  </si>
  <si>
    <t>N353243462091798 Ag. DIBL276532400874</t>
  </si>
  <si>
    <t>N355243464624154 Ag. DIBL276532400875,DIBL276532400951</t>
  </si>
  <si>
    <t>Bill No. DIBL276532401031 Dt. 22-12-2024 Entry No.P000670</t>
  </si>
  <si>
    <t>Bill No. DIBL276532401093 Dt. 07-01-2025 Entry No.P000723</t>
  </si>
  <si>
    <t>N004253492220482 Ag. DIBL276532400931</t>
  </si>
  <si>
    <t>Bill No. DIBL276532401117 Dt. 28-01-2025 Entry No.P000755</t>
  </si>
  <si>
    <t>RRR0132581350739 Ag. DIBL276532400931,DIBL276532401014,DIBL276532401031</t>
  </si>
  <si>
    <t>Bill No. DSLF424 Dt. 28-01-2025 Adj.in</t>
  </si>
  <si>
    <t>Bill No. DIBL276532401163 Dt. 07-02-2025 Entry No.P000789</t>
  </si>
  <si>
    <t>HDFCN52025012825180653</t>
  </si>
  <si>
    <t>Bill No. DIBL276532401190 Dt. 07-02-2025 Entry No.P000790</t>
  </si>
  <si>
    <t>Bill No. DIBL276532401203 Dt. 07-02-2025 Entry No.P000791</t>
  </si>
  <si>
    <t>SBIN225038897373 Ag. DIBL276532401093</t>
  </si>
  <si>
    <t>Bill No. DIBL276532401249 Dt. 18-02-2025 Entry No.P000824</t>
  </si>
  <si>
    <t>Bill No. Dslf463 Dt. 18-02-2025 Adj.in</t>
  </si>
  <si>
    <t>SBIN525049101038</t>
  </si>
  <si>
    <t>Bill No. DIBL276532401333 Dt. 01-03-2025 Entry No.P000848</t>
  </si>
  <si>
    <t>Bill No. DIBL276532401334 Dt. 01-03-2025 Entry No.P000849</t>
  </si>
  <si>
    <t>HDFCN52025022885922325 Ag. DIBL276532401117</t>
  </si>
  <si>
    <t>HDFCN52025030601067824 Ag. DIBL276532401203</t>
  </si>
  <si>
    <t>Bill No. DIBL276532401384 Dt. 08-03-2025 Entry No.P000878</t>
  </si>
  <si>
    <t>Bill No. DSLF511 Dt. 08-03-2025 Entry No.P000877</t>
  </si>
  <si>
    <t>HDFCN52025031008628581 Ag. DSLF511</t>
  </si>
  <si>
    <t>Bill No. DIBL276532401420 Dt. 19-03-2025 Entry No.P000910</t>
  </si>
  <si>
    <t>Bill No. Dslf520 Dt. 19-03-2025 Adj.in</t>
  </si>
  <si>
    <t>HDFCN52025031519926007</t>
  </si>
  <si>
    <t>Bill No. DSLF525 Dt. 31-03-2025 Entry No.P000946</t>
  </si>
  <si>
    <t>Bill No. DIBL276532401462 Dt. 25-03-2025 Entry No.P000922</t>
  </si>
  <si>
    <t>HDFCN52025032129801905 Ag. DIBL276532401163,DIBL276532401190</t>
  </si>
  <si>
    <t>SBIN525088401805 Ag. DIBL276532401249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</si>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</sst>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6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4">
    <xf numFmtId="0" fontId="0" fillId="0" borderId="0" xfId="0" applyNumberFormat="1" applyFill="1" applyAlignment="1" applyProtection="1"/>
    <xf numFmtId="0" fontId="5" fillId="0" borderId="0" xfId="0" applyNumberFormat="1" applyFont="1" applyFill="1" applyAlignment="1" applyProtection="1">
      <alignment horizontal="center"/>
    </xf>
    <xf numFmtId="0" fontId="4" fillId="0" borderId="0" xfId="0" applyNumberFormat="1" applyFont="1" applyFill="1" applyAlignment="1" applyProtection="1">
      <alignment horizontal="center"/>
    </xf>
    <xf numFmtId="0" fontId="3" fillId="0" borderId="0" xfId="0" applyNumberFormat="1" applyFont="1" applyFill="1" applyAlignment="1" applyProtection="1">
      <alignment horizontal="center"/>
    </xf>
    <xf numFmtId="0" fontId="2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0" fontId="5" fillId="2" borderId="0" xfId="0" applyNumberFormat="1" applyFont="1" applyFill="1" applyAlignment="1" applyProtection="1">
      <alignment horizontal="right"/>
    </xf>
    <xf numFmtId="0" fontId="5" fillId="2" borderId="0" xfId="0" applyNumberFormat="1" applyFont="1" applyFill="1" applyAlignment="1" applyProtection="1"/>
    <xf numFmtId="164" fontId="0" fillId="0" borderId="0" xfId="0" applyNumberFormat="1" applyFont="1" applyFill="1" applyAlignment="1" applyProtection="1"/>
    <xf numFmtId="0" fontId="0" fillId="0" borderId="0" xfId="0" applyNumberFormat="1" applyFont="1" applyFill="1" applyAlignment="1" applyProtection="1"/>
    <xf numFmtId="0" fontId="0" fillId="0" borderId="0" xfId="0" applyNumberFormat="1" applyFont="1" applyFill="1" applyAlignment="1" applyProtection="1">
      <alignment wrapText="1"/>
    </xf>
    <xf numFmtId="2" fontId="0" fillId="0" borderId="0" xfId="0" applyNumberFormat="1" applyFont="1" applyFill="1" applyAlignment="1" applyProtection="1"/>
    <xf numFmtId="0" fontId="5" fillId="3" borderId="0" xfId="0" applyNumberFormat="1" applyFont="1" applyFill="1" applyAlignment="1" applyProtection="1"/>
    <xf numFmtId="2" fontId="5" fillId="3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topLeftCell="A85" workbookViewId="0">
      <selection activeCell="A108" sqref="A108:XFD108"/>
    </sheetView>
  </sheetViews>
  <sheetFormatPr defaultRowHeight="15" x14ac:dyDescent="0.25"/>
  <cols>
    <col min="1" max="1" width="10.7109375" customWidth="1"/>
    <col min="2" max="2" width="5.7109375" customWidth="1"/>
    <col min="3" max="3" width="35.85546875" customWidth="1"/>
    <col min="4" max="6" width="12.7109375" customWidth="1"/>
  </cols>
  <sheetData>
    <row r="1" spans="1:6" ht="18.75" x14ac:dyDescent="0.3">
      <c r="A1" s="5" t="s">
        <v>0</v>
      </c>
      <c r="B1" s="5"/>
      <c r="C1" s="5"/>
      <c r="D1" s="5"/>
      <c r="E1" s="5"/>
      <c r="F1" s="5"/>
    </row>
    <row r="2" spans="1:6" x14ac:dyDescent="0.25">
      <c r="A2" s="4" t="s">
        <v>1</v>
      </c>
      <c r="B2" s="4"/>
      <c r="C2" s="4"/>
      <c r="D2" s="4"/>
      <c r="E2" s="4"/>
      <c r="F2" s="4"/>
    </row>
    <row r="3" spans="1:6" ht="18.75" x14ac:dyDescent="0.3">
      <c r="A3" s="5" t="s">
        <v>2</v>
      </c>
      <c r="B3" s="5"/>
      <c r="C3" s="5"/>
      <c r="D3" s="5"/>
      <c r="E3" s="5"/>
      <c r="F3" s="5"/>
    </row>
    <row r="4" spans="1:6" x14ac:dyDescent="0.25">
      <c r="A4" s="3" t="s">
        <v>3</v>
      </c>
      <c r="B4" s="3"/>
      <c r="C4" s="3"/>
      <c r="D4" s="3"/>
      <c r="E4" s="3"/>
      <c r="F4" s="3"/>
    </row>
    <row r="5" spans="1:6" ht="15.75" x14ac:dyDescent="0.25">
      <c r="A5" s="2" t="s">
        <v>4</v>
      </c>
      <c r="B5" s="2"/>
      <c r="C5" s="2"/>
      <c r="D5" s="2"/>
      <c r="E5" s="2"/>
      <c r="F5" s="2"/>
    </row>
    <row r="6" spans="1:6" x14ac:dyDescent="0.25">
      <c r="A6" s="1" t="s">
        <v>5</v>
      </c>
      <c r="B6" s="1"/>
      <c r="C6" s="1"/>
      <c r="D6" s="1"/>
      <c r="E6" s="1"/>
      <c r="F6" s="1"/>
    </row>
    <row r="7" spans="1:6" x14ac:dyDescent="0.25">
      <c r="A7" s="6" t="s">
        <v>6</v>
      </c>
      <c r="B7" s="7" t="s">
        <v>7</v>
      </c>
      <c r="C7" s="7" t="s">
        <v>8</v>
      </c>
      <c r="D7" s="6" t="s">
        <v>9</v>
      </c>
      <c r="E7" s="6" t="s">
        <v>10</v>
      </c>
      <c r="F7" s="6" t="s">
        <v>11</v>
      </c>
    </row>
    <row r="8" spans="1:6" x14ac:dyDescent="0.25">
      <c r="A8" s="8">
        <v>45407</v>
      </c>
      <c r="B8" s="9" t="s">
        <v>12</v>
      </c>
      <c r="C8" s="10" t="s">
        <v>13</v>
      </c>
      <c r="D8" s="11">
        <v>49323</v>
      </c>
      <c r="E8" s="9"/>
      <c r="F8" s="11">
        <f>SUM(D8-E8)</f>
        <v>49323</v>
      </c>
    </row>
    <row r="9" spans="1:6" ht="30" x14ac:dyDescent="0.25">
      <c r="A9" s="8">
        <v>45409</v>
      </c>
      <c r="B9" s="9" t="s">
        <v>14</v>
      </c>
      <c r="C9" s="10" t="s">
        <v>15</v>
      </c>
      <c r="D9" s="9"/>
      <c r="E9" s="11">
        <v>49875</v>
      </c>
      <c r="F9" s="11">
        <f t="shared" ref="F9:F40" si="0">SUM(F8+D9-E9)</f>
        <v>-552</v>
      </c>
    </row>
    <row r="10" spans="1:6" ht="30" x14ac:dyDescent="0.25">
      <c r="A10" s="8">
        <v>45433</v>
      </c>
      <c r="B10" s="9" t="s">
        <v>14</v>
      </c>
      <c r="C10" s="10" t="s">
        <v>16</v>
      </c>
      <c r="D10" s="9"/>
      <c r="E10" s="11">
        <v>6050</v>
      </c>
      <c r="F10" s="11">
        <f t="shared" si="0"/>
        <v>-6602</v>
      </c>
    </row>
    <row r="11" spans="1:6" ht="30" x14ac:dyDescent="0.25">
      <c r="A11" s="8">
        <v>45433</v>
      </c>
      <c r="B11" s="9" t="s">
        <v>14</v>
      </c>
      <c r="C11" s="10" t="s">
        <v>17</v>
      </c>
      <c r="D11" s="9"/>
      <c r="E11" s="11">
        <v>156297</v>
      </c>
      <c r="F11" s="11">
        <f t="shared" si="0"/>
        <v>-162899</v>
      </c>
    </row>
    <row r="12" spans="1:6" x14ac:dyDescent="0.25">
      <c r="A12" s="8">
        <v>45436</v>
      </c>
      <c r="B12" s="9" t="s">
        <v>14</v>
      </c>
      <c r="C12" s="10" t="s">
        <v>18</v>
      </c>
      <c r="D12" s="9"/>
      <c r="E12" s="11">
        <v>27205</v>
      </c>
      <c r="F12" s="11">
        <f t="shared" si="0"/>
        <v>-190104</v>
      </c>
    </row>
    <row r="13" spans="1:6" x14ac:dyDescent="0.25">
      <c r="A13" s="8">
        <v>45436</v>
      </c>
      <c r="B13" s="9" t="s">
        <v>12</v>
      </c>
      <c r="C13" s="10" t="s">
        <v>19</v>
      </c>
      <c r="D13" s="11">
        <v>27205</v>
      </c>
      <c r="E13" s="9"/>
      <c r="F13" s="11">
        <f t="shared" si="0"/>
        <v>-162899</v>
      </c>
    </row>
    <row r="14" spans="1:6" ht="30" x14ac:dyDescent="0.25">
      <c r="A14" s="8">
        <v>45441</v>
      </c>
      <c r="B14" s="9" t="s">
        <v>14</v>
      </c>
      <c r="C14" s="10" t="s">
        <v>20</v>
      </c>
      <c r="D14" s="9"/>
      <c r="E14" s="11">
        <v>122680</v>
      </c>
      <c r="F14" s="11">
        <f t="shared" si="0"/>
        <v>-285579</v>
      </c>
    </row>
    <row r="15" spans="1:6" ht="30" x14ac:dyDescent="0.25">
      <c r="A15" s="8">
        <v>45443</v>
      </c>
      <c r="B15" s="9" t="s">
        <v>14</v>
      </c>
      <c r="C15" s="10" t="s">
        <v>21</v>
      </c>
      <c r="D15" s="9"/>
      <c r="E15" s="11">
        <v>200790</v>
      </c>
      <c r="F15" s="11">
        <f t="shared" si="0"/>
        <v>-486369</v>
      </c>
    </row>
    <row r="16" spans="1:6" ht="30" x14ac:dyDescent="0.25">
      <c r="A16" s="8">
        <v>45451</v>
      </c>
      <c r="B16" s="9" t="s">
        <v>12</v>
      </c>
      <c r="C16" s="10" t="s">
        <v>22</v>
      </c>
      <c r="D16" s="11">
        <v>162347</v>
      </c>
      <c r="E16" s="9"/>
      <c r="F16" s="11">
        <f t="shared" si="0"/>
        <v>-324022</v>
      </c>
    </row>
    <row r="17" spans="1:6" ht="30" x14ac:dyDescent="0.25">
      <c r="A17" s="8">
        <v>45456</v>
      </c>
      <c r="B17" s="9" t="s">
        <v>14</v>
      </c>
      <c r="C17" s="10" t="s">
        <v>23</v>
      </c>
      <c r="D17" s="9"/>
      <c r="E17" s="11">
        <v>95807</v>
      </c>
      <c r="F17" s="11">
        <f t="shared" si="0"/>
        <v>-419829</v>
      </c>
    </row>
    <row r="18" spans="1:6" x14ac:dyDescent="0.25">
      <c r="A18" s="8">
        <v>45458</v>
      </c>
      <c r="B18" s="9" t="s">
        <v>14</v>
      </c>
      <c r="C18" s="10" t="s">
        <v>24</v>
      </c>
      <c r="D18" s="9"/>
      <c r="E18" s="11">
        <v>27772</v>
      </c>
      <c r="F18" s="11">
        <f t="shared" si="0"/>
        <v>-447601</v>
      </c>
    </row>
    <row r="19" spans="1:6" x14ac:dyDescent="0.25">
      <c r="A19" s="8">
        <v>45458</v>
      </c>
      <c r="B19" s="9" t="s">
        <v>12</v>
      </c>
      <c r="C19" s="10" t="s">
        <v>25</v>
      </c>
      <c r="D19" s="11">
        <v>27772</v>
      </c>
      <c r="E19" s="9"/>
      <c r="F19" s="11">
        <f t="shared" si="0"/>
        <v>-419829</v>
      </c>
    </row>
    <row r="20" spans="1:6" ht="30" x14ac:dyDescent="0.25">
      <c r="A20" s="8">
        <v>45460</v>
      </c>
      <c r="B20" s="9" t="s">
        <v>14</v>
      </c>
      <c r="C20" s="10" t="s">
        <v>26</v>
      </c>
      <c r="D20" s="9"/>
      <c r="E20" s="11">
        <v>88267</v>
      </c>
      <c r="F20" s="11">
        <f t="shared" si="0"/>
        <v>-508096</v>
      </c>
    </row>
    <row r="21" spans="1:6" ht="30" x14ac:dyDescent="0.25">
      <c r="A21" s="8">
        <v>45471</v>
      </c>
      <c r="B21" s="9" t="s">
        <v>14</v>
      </c>
      <c r="C21" s="10" t="s">
        <v>27</v>
      </c>
      <c r="D21" s="9"/>
      <c r="E21" s="11">
        <v>300878</v>
      </c>
      <c r="F21" s="11">
        <f t="shared" si="0"/>
        <v>-808974</v>
      </c>
    </row>
    <row r="22" spans="1:6" ht="30" x14ac:dyDescent="0.25">
      <c r="A22" s="8">
        <v>45481</v>
      </c>
      <c r="B22" s="9" t="s">
        <v>14</v>
      </c>
      <c r="C22" s="10" t="s">
        <v>28</v>
      </c>
      <c r="D22" s="9"/>
      <c r="E22" s="11">
        <v>11042</v>
      </c>
      <c r="F22" s="11">
        <f t="shared" si="0"/>
        <v>-820016</v>
      </c>
    </row>
    <row r="23" spans="1:6" ht="30" x14ac:dyDescent="0.25">
      <c r="A23" s="8">
        <v>45484</v>
      </c>
      <c r="B23" s="9" t="s">
        <v>14</v>
      </c>
      <c r="C23" s="10" t="s">
        <v>29</v>
      </c>
      <c r="D23" s="9"/>
      <c r="E23" s="11">
        <v>305153</v>
      </c>
      <c r="F23" s="11">
        <f t="shared" si="0"/>
        <v>-1125169</v>
      </c>
    </row>
    <row r="24" spans="1:6" x14ac:dyDescent="0.25">
      <c r="A24" s="8">
        <v>45484</v>
      </c>
      <c r="B24" s="9" t="s">
        <v>14</v>
      </c>
      <c r="C24" s="10" t="s">
        <v>30</v>
      </c>
      <c r="D24" s="9"/>
      <c r="E24" s="11">
        <v>37121</v>
      </c>
      <c r="F24" s="11">
        <f t="shared" si="0"/>
        <v>-1162290</v>
      </c>
    </row>
    <row r="25" spans="1:6" x14ac:dyDescent="0.25">
      <c r="A25" s="8">
        <v>45484</v>
      </c>
      <c r="B25" s="9" t="s">
        <v>12</v>
      </c>
      <c r="C25" s="10" t="s">
        <v>31</v>
      </c>
      <c r="D25" s="11">
        <v>35237</v>
      </c>
      <c r="E25" s="9"/>
      <c r="F25" s="11">
        <f t="shared" si="0"/>
        <v>-1127053</v>
      </c>
    </row>
    <row r="26" spans="1:6" ht="30" x14ac:dyDescent="0.25">
      <c r="A26" s="8">
        <v>45489</v>
      </c>
      <c r="B26" s="9" t="s">
        <v>12</v>
      </c>
      <c r="C26" s="10" t="s">
        <v>32</v>
      </c>
      <c r="D26" s="11">
        <v>122680</v>
      </c>
      <c r="E26" s="9"/>
      <c r="F26" s="11">
        <f t="shared" si="0"/>
        <v>-1004373</v>
      </c>
    </row>
    <row r="27" spans="1:6" ht="45" x14ac:dyDescent="0.25">
      <c r="A27" s="8">
        <v>45489</v>
      </c>
      <c r="B27" s="9" t="s">
        <v>12</v>
      </c>
      <c r="C27" s="10" t="s">
        <v>33</v>
      </c>
      <c r="D27" s="11">
        <v>284952</v>
      </c>
      <c r="E27" s="9"/>
      <c r="F27" s="11">
        <f t="shared" si="0"/>
        <v>-719421</v>
      </c>
    </row>
    <row r="28" spans="1:6" x14ac:dyDescent="0.25">
      <c r="A28" s="8">
        <v>45495</v>
      </c>
      <c r="B28" s="9" t="s">
        <v>12</v>
      </c>
      <c r="C28" s="10" t="s">
        <v>34</v>
      </c>
      <c r="D28" s="11">
        <v>2436</v>
      </c>
      <c r="E28" s="9"/>
      <c r="F28" s="11">
        <f t="shared" si="0"/>
        <v>-716985</v>
      </c>
    </row>
    <row r="29" spans="1:6" ht="30" x14ac:dyDescent="0.25">
      <c r="A29" s="8">
        <v>45495</v>
      </c>
      <c r="B29" s="9" t="s">
        <v>12</v>
      </c>
      <c r="C29" s="10" t="s">
        <v>35</v>
      </c>
      <c r="D29" s="11">
        <v>100790</v>
      </c>
      <c r="E29" s="9"/>
      <c r="F29" s="11">
        <f t="shared" si="0"/>
        <v>-616195</v>
      </c>
    </row>
    <row r="30" spans="1:6" ht="30" x14ac:dyDescent="0.25">
      <c r="A30" s="8">
        <v>45495</v>
      </c>
      <c r="B30" s="9" t="s">
        <v>12</v>
      </c>
      <c r="C30" s="10" t="s">
        <v>36</v>
      </c>
      <c r="D30" s="11">
        <v>100000</v>
      </c>
      <c r="E30" s="9"/>
      <c r="F30" s="11">
        <f t="shared" si="0"/>
        <v>-516195</v>
      </c>
    </row>
    <row r="31" spans="1:6" ht="30" x14ac:dyDescent="0.25">
      <c r="A31" s="8">
        <v>45495</v>
      </c>
      <c r="B31" s="9" t="s">
        <v>12</v>
      </c>
      <c r="C31" s="10" t="s">
        <v>37</v>
      </c>
      <c r="D31" s="11">
        <v>200000</v>
      </c>
      <c r="E31" s="9"/>
      <c r="F31" s="11">
        <f t="shared" si="0"/>
        <v>-316195</v>
      </c>
    </row>
    <row r="32" spans="1:6" ht="30" x14ac:dyDescent="0.25">
      <c r="A32" s="8">
        <v>45503</v>
      </c>
      <c r="B32" s="9" t="s">
        <v>14</v>
      </c>
      <c r="C32" s="10" t="s">
        <v>38</v>
      </c>
      <c r="D32" s="9"/>
      <c r="E32" s="11">
        <v>223372</v>
      </c>
      <c r="F32" s="11">
        <f t="shared" si="0"/>
        <v>-539567</v>
      </c>
    </row>
    <row r="33" spans="1:6" x14ac:dyDescent="0.25">
      <c r="A33" s="8">
        <v>45513</v>
      </c>
      <c r="B33" s="9" t="s">
        <v>12</v>
      </c>
      <c r="C33" s="10" t="s">
        <v>39</v>
      </c>
      <c r="D33" s="11">
        <v>30028</v>
      </c>
      <c r="E33" s="9"/>
      <c r="F33" s="11">
        <f t="shared" si="0"/>
        <v>-509539</v>
      </c>
    </row>
    <row r="34" spans="1:6" ht="30" x14ac:dyDescent="0.25">
      <c r="A34" s="8">
        <v>45513</v>
      </c>
      <c r="B34" s="9" t="s">
        <v>12</v>
      </c>
      <c r="C34" s="10" t="s">
        <v>40</v>
      </c>
      <c r="D34" s="11">
        <v>223372</v>
      </c>
      <c r="E34" s="9"/>
      <c r="F34" s="11">
        <f t="shared" si="0"/>
        <v>-286167</v>
      </c>
    </row>
    <row r="35" spans="1:6" x14ac:dyDescent="0.25">
      <c r="A35" s="8">
        <v>45516</v>
      </c>
      <c r="B35" s="9" t="s">
        <v>14</v>
      </c>
      <c r="C35" s="10" t="s">
        <v>41</v>
      </c>
      <c r="D35" s="9"/>
      <c r="E35" s="11">
        <v>30028</v>
      </c>
      <c r="F35" s="11">
        <f t="shared" si="0"/>
        <v>-316195</v>
      </c>
    </row>
    <row r="36" spans="1:6" ht="30" x14ac:dyDescent="0.25">
      <c r="A36" s="8">
        <v>45518</v>
      </c>
      <c r="B36" s="9" t="s">
        <v>14</v>
      </c>
      <c r="C36" s="10" t="s">
        <v>42</v>
      </c>
      <c r="D36" s="9"/>
      <c r="E36" s="11">
        <v>123185</v>
      </c>
      <c r="F36" s="11">
        <f t="shared" si="0"/>
        <v>-439380</v>
      </c>
    </row>
    <row r="37" spans="1:6" ht="60" x14ac:dyDescent="0.25">
      <c r="A37" s="8">
        <v>45521</v>
      </c>
      <c r="B37" s="9" t="s">
        <v>12</v>
      </c>
      <c r="C37" s="10" t="s">
        <v>43</v>
      </c>
      <c r="D37" s="11">
        <v>200000</v>
      </c>
      <c r="E37" s="9"/>
      <c r="F37" s="11">
        <f t="shared" si="0"/>
        <v>-239380</v>
      </c>
    </row>
    <row r="38" spans="1:6" ht="30" x14ac:dyDescent="0.25">
      <c r="A38" s="8">
        <v>45525</v>
      </c>
      <c r="B38" s="9" t="s">
        <v>12</v>
      </c>
      <c r="C38" s="10" t="s">
        <v>44</v>
      </c>
      <c r="D38" s="11">
        <v>105153</v>
      </c>
      <c r="E38" s="9"/>
      <c r="F38" s="11">
        <f t="shared" si="0"/>
        <v>-134227</v>
      </c>
    </row>
    <row r="39" spans="1:6" ht="30" x14ac:dyDescent="0.25">
      <c r="A39" s="8">
        <v>45528</v>
      </c>
      <c r="B39" s="9" t="s">
        <v>14</v>
      </c>
      <c r="C39" s="10" t="s">
        <v>45</v>
      </c>
      <c r="D39" s="9"/>
      <c r="E39" s="11">
        <v>109421</v>
      </c>
      <c r="F39" s="11">
        <f t="shared" si="0"/>
        <v>-243648</v>
      </c>
    </row>
    <row r="40" spans="1:6" ht="30" x14ac:dyDescent="0.25">
      <c r="A40" s="8">
        <v>45534</v>
      </c>
      <c r="B40" s="9" t="s">
        <v>14</v>
      </c>
      <c r="C40" s="10" t="s">
        <v>46</v>
      </c>
      <c r="D40" s="9"/>
      <c r="E40" s="11">
        <v>206063</v>
      </c>
      <c r="F40" s="11">
        <f t="shared" si="0"/>
        <v>-449711</v>
      </c>
    </row>
    <row r="41" spans="1:6" ht="30" x14ac:dyDescent="0.25">
      <c r="A41" s="8">
        <v>45535</v>
      </c>
      <c r="B41" s="9" t="s">
        <v>14</v>
      </c>
      <c r="C41" s="10" t="s">
        <v>47</v>
      </c>
      <c r="D41" s="9"/>
      <c r="E41" s="11">
        <v>23149</v>
      </c>
      <c r="F41" s="11">
        <f t="shared" ref="F41:F72" si="1">SUM(F40+D41-E41)</f>
        <v>-472860</v>
      </c>
    </row>
    <row r="42" spans="1:6" x14ac:dyDescent="0.25">
      <c r="A42" s="8">
        <v>45539</v>
      </c>
      <c r="B42" s="9" t="s">
        <v>12</v>
      </c>
      <c r="C42" s="10" t="s">
        <v>48</v>
      </c>
      <c r="D42" s="11">
        <v>51290</v>
      </c>
      <c r="E42" s="9"/>
      <c r="F42" s="11">
        <f t="shared" si="1"/>
        <v>-421570</v>
      </c>
    </row>
    <row r="43" spans="1:6" ht="30" x14ac:dyDescent="0.25">
      <c r="A43" s="8">
        <v>45539</v>
      </c>
      <c r="B43" s="9" t="s">
        <v>12</v>
      </c>
      <c r="C43" s="10" t="s">
        <v>49</v>
      </c>
      <c r="D43" s="11">
        <v>118185</v>
      </c>
      <c r="E43" s="9"/>
      <c r="F43" s="11">
        <f t="shared" si="1"/>
        <v>-303385</v>
      </c>
    </row>
    <row r="44" spans="1:6" x14ac:dyDescent="0.25">
      <c r="A44" s="8">
        <v>45540</v>
      </c>
      <c r="B44" s="9" t="s">
        <v>14</v>
      </c>
      <c r="C44" s="10" t="s">
        <v>50</v>
      </c>
      <c r="D44" s="9"/>
      <c r="E44" s="11">
        <v>51291</v>
      </c>
      <c r="F44" s="11">
        <f t="shared" si="1"/>
        <v>-354676</v>
      </c>
    </row>
    <row r="45" spans="1:6" ht="30" x14ac:dyDescent="0.25">
      <c r="A45" s="8">
        <v>45541</v>
      </c>
      <c r="B45" s="9" t="s">
        <v>14</v>
      </c>
      <c r="C45" s="10" t="s">
        <v>51</v>
      </c>
      <c r="D45" s="9"/>
      <c r="E45" s="11">
        <v>59475</v>
      </c>
      <c r="F45" s="11">
        <f t="shared" si="1"/>
        <v>-414151</v>
      </c>
    </row>
    <row r="46" spans="1:6" ht="30" x14ac:dyDescent="0.25">
      <c r="A46" s="8">
        <v>45541</v>
      </c>
      <c r="B46" s="9" t="s">
        <v>14</v>
      </c>
      <c r="C46" s="10" t="s">
        <v>52</v>
      </c>
      <c r="D46" s="9"/>
      <c r="E46" s="11">
        <v>143712</v>
      </c>
      <c r="F46" s="11">
        <f t="shared" si="1"/>
        <v>-557863</v>
      </c>
    </row>
    <row r="47" spans="1:6" ht="30" x14ac:dyDescent="0.25">
      <c r="A47" s="8">
        <v>45553</v>
      </c>
      <c r="B47" s="9" t="s">
        <v>12</v>
      </c>
      <c r="C47" s="10" t="s">
        <v>53</v>
      </c>
      <c r="D47" s="11">
        <v>102422</v>
      </c>
      <c r="E47" s="9"/>
      <c r="F47" s="11">
        <f t="shared" si="1"/>
        <v>-455441</v>
      </c>
    </row>
    <row r="48" spans="1:6" ht="30" x14ac:dyDescent="0.25">
      <c r="A48" s="8">
        <v>45556</v>
      </c>
      <c r="B48" s="9" t="s">
        <v>14</v>
      </c>
      <c r="C48" s="10" t="s">
        <v>54</v>
      </c>
      <c r="D48" s="9"/>
      <c r="E48" s="11">
        <v>59801</v>
      </c>
      <c r="F48" s="11">
        <f t="shared" si="1"/>
        <v>-515242</v>
      </c>
    </row>
    <row r="49" spans="1:6" ht="30" x14ac:dyDescent="0.25">
      <c r="A49" s="8">
        <v>45556</v>
      </c>
      <c r="B49" s="9" t="s">
        <v>14</v>
      </c>
      <c r="C49" s="10" t="s">
        <v>55</v>
      </c>
      <c r="D49" s="9"/>
      <c r="E49" s="11">
        <v>150324</v>
      </c>
      <c r="F49" s="11">
        <f t="shared" si="1"/>
        <v>-665566</v>
      </c>
    </row>
    <row r="50" spans="1:6" ht="30" x14ac:dyDescent="0.25">
      <c r="A50" s="8">
        <v>45559</v>
      </c>
      <c r="B50" s="9" t="s">
        <v>12</v>
      </c>
      <c r="C50" s="10" t="s">
        <v>56</v>
      </c>
      <c r="D50" s="11">
        <v>229212</v>
      </c>
      <c r="E50" s="9"/>
      <c r="F50" s="11">
        <f t="shared" si="1"/>
        <v>-436354</v>
      </c>
    </row>
    <row r="51" spans="1:6" ht="30" x14ac:dyDescent="0.25">
      <c r="A51" s="8">
        <v>45572</v>
      </c>
      <c r="B51" s="9" t="s">
        <v>57</v>
      </c>
      <c r="C51" s="10" t="s">
        <v>58</v>
      </c>
      <c r="D51" s="11">
        <v>1551</v>
      </c>
      <c r="E51" s="9"/>
      <c r="F51" s="11">
        <f t="shared" si="1"/>
        <v>-434803</v>
      </c>
    </row>
    <row r="52" spans="1:6" ht="30" x14ac:dyDescent="0.25">
      <c r="A52" s="8">
        <v>45572</v>
      </c>
      <c r="B52" s="9" t="s">
        <v>14</v>
      </c>
      <c r="C52" s="10" t="s">
        <v>59</v>
      </c>
      <c r="D52" s="9"/>
      <c r="E52" s="11">
        <v>120413</v>
      </c>
      <c r="F52" s="11">
        <f t="shared" si="1"/>
        <v>-555216</v>
      </c>
    </row>
    <row r="53" spans="1:6" x14ac:dyDescent="0.25">
      <c r="A53" s="8">
        <v>45572</v>
      </c>
      <c r="B53" s="9" t="s">
        <v>14</v>
      </c>
      <c r="C53" s="10" t="s">
        <v>60</v>
      </c>
      <c r="D53" s="9"/>
      <c r="E53" s="11">
        <v>51921</v>
      </c>
      <c r="F53" s="11">
        <f t="shared" si="1"/>
        <v>-607137</v>
      </c>
    </row>
    <row r="54" spans="1:6" x14ac:dyDescent="0.25">
      <c r="A54" s="8">
        <v>45572</v>
      </c>
      <c r="B54" s="9" t="s">
        <v>12</v>
      </c>
      <c r="C54" s="10" t="s">
        <v>61</v>
      </c>
      <c r="D54" s="11">
        <v>50370</v>
      </c>
      <c r="E54" s="9"/>
      <c r="F54" s="11">
        <f t="shared" si="1"/>
        <v>-556767</v>
      </c>
    </row>
    <row r="55" spans="1:6" ht="60" x14ac:dyDescent="0.25">
      <c r="A55" s="8">
        <v>45572</v>
      </c>
      <c r="B55" s="9" t="s">
        <v>12</v>
      </c>
      <c r="C55" s="10" t="s">
        <v>62</v>
      </c>
      <c r="D55" s="11">
        <v>226229</v>
      </c>
      <c r="E55" s="9"/>
      <c r="F55" s="11">
        <f t="shared" si="1"/>
        <v>-330538</v>
      </c>
    </row>
    <row r="56" spans="1:6" ht="30" x14ac:dyDescent="0.25">
      <c r="A56" s="8">
        <v>45580</v>
      </c>
      <c r="B56" s="9" t="s">
        <v>12</v>
      </c>
      <c r="C56" s="10" t="s">
        <v>63</v>
      </c>
      <c r="D56" s="11">
        <v>150324</v>
      </c>
      <c r="E56" s="9"/>
      <c r="F56" s="11">
        <f t="shared" si="1"/>
        <v>-180214</v>
      </c>
    </row>
    <row r="57" spans="1:6" ht="30" x14ac:dyDescent="0.25">
      <c r="A57" s="8">
        <v>45582</v>
      </c>
      <c r="B57" s="9" t="s">
        <v>14</v>
      </c>
      <c r="C57" s="10" t="s">
        <v>64</v>
      </c>
      <c r="D57" s="9"/>
      <c r="E57" s="11">
        <v>103758</v>
      </c>
      <c r="F57" s="11">
        <f t="shared" si="1"/>
        <v>-283972</v>
      </c>
    </row>
    <row r="58" spans="1:6" ht="30" x14ac:dyDescent="0.25">
      <c r="A58" s="8">
        <v>45588</v>
      </c>
      <c r="B58" s="9" t="s">
        <v>12</v>
      </c>
      <c r="C58" s="10" t="s">
        <v>65</v>
      </c>
      <c r="D58" s="11">
        <v>59801</v>
      </c>
      <c r="E58" s="9"/>
      <c r="F58" s="11">
        <f t="shared" si="1"/>
        <v>-224171</v>
      </c>
    </row>
    <row r="59" spans="1:6" ht="30" x14ac:dyDescent="0.25">
      <c r="A59" s="8">
        <v>45590</v>
      </c>
      <c r="B59" s="9" t="s">
        <v>14</v>
      </c>
      <c r="C59" s="10" t="s">
        <v>66</v>
      </c>
      <c r="D59" s="9"/>
      <c r="E59" s="11">
        <v>172716</v>
      </c>
      <c r="F59" s="11">
        <f t="shared" si="1"/>
        <v>-396887</v>
      </c>
    </row>
    <row r="60" spans="1:6" ht="30" x14ac:dyDescent="0.25">
      <c r="A60" s="8">
        <v>45590</v>
      </c>
      <c r="B60" s="9" t="s">
        <v>14</v>
      </c>
      <c r="C60" s="10" t="s">
        <v>67</v>
      </c>
      <c r="D60" s="9"/>
      <c r="E60" s="11">
        <v>60880</v>
      </c>
      <c r="F60" s="11">
        <f t="shared" si="1"/>
        <v>-457767</v>
      </c>
    </row>
    <row r="61" spans="1:6" ht="30" x14ac:dyDescent="0.25">
      <c r="A61" s="8">
        <v>45597</v>
      </c>
      <c r="B61" s="9" t="s">
        <v>12</v>
      </c>
      <c r="C61" s="10" t="s">
        <v>68</v>
      </c>
      <c r="D61" s="11">
        <v>120413</v>
      </c>
      <c r="E61" s="9"/>
      <c r="F61" s="11">
        <f t="shared" si="1"/>
        <v>-337354</v>
      </c>
    </row>
    <row r="62" spans="1:6" ht="30" x14ac:dyDescent="0.25">
      <c r="A62" s="8">
        <v>45603</v>
      </c>
      <c r="B62" s="9" t="s">
        <v>14</v>
      </c>
      <c r="C62" s="10" t="s">
        <v>69</v>
      </c>
      <c r="D62" s="9"/>
      <c r="E62" s="11">
        <v>27398</v>
      </c>
      <c r="F62" s="11">
        <f t="shared" si="1"/>
        <v>-364752</v>
      </c>
    </row>
    <row r="63" spans="1:6" x14ac:dyDescent="0.25">
      <c r="A63" s="8">
        <v>45604</v>
      </c>
      <c r="B63" s="9" t="s">
        <v>14</v>
      </c>
      <c r="C63" s="10" t="s">
        <v>70</v>
      </c>
      <c r="D63" s="9"/>
      <c r="E63" s="11">
        <v>59276</v>
      </c>
      <c r="F63" s="11">
        <f t="shared" si="1"/>
        <v>-424028</v>
      </c>
    </row>
    <row r="64" spans="1:6" x14ac:dyDescent="0.25">
      <c r="A64" s="8">
        <v>45604</v>
      </c>
      <c r="B64" s="9" t="s">
        <v>12</v>
      </c>
      <c r="C64" s="10" t="s">
        <v>71</v>
      </c>
      <c r="D64" s="11">
        <v>59276</v>
      </c>
      <c r="E64" s="9"/>
      <c r="F64" s="11">
        <f t="shared" si="1"/>
        <v>-364752</v>
      </c>
    </row>
    <row r="65" spans="1:6" ht="30" x14ac:dyDescent="0.25">
      <c r="A65" s="8">
        <v>45607</v>
      </c>
      <c r="B65" s="9" t="s">
        <v>12</v>
      </c>
      <c r="C65" s="10" t="s">
        <v>72</v>
      </c>
      <c r="D65" s="11">
        <v>103758</v>
      </c>
      <c r="E65" s="9"/>
      <c r="F65" s="11">
        <f t="shared" si="1"/>
        <v>-260994</v>
      </c>
    </row>
    <row r="66" spans="1:6" ht="30" x14ac:dyDescent="0.25">
      <c r="A66" s="8">
        <v>45610</v>
      </c>
      <c r="B66" s="9" t="s">
        <v>14</v>
      </c>
      <c r="C66" s="10" t="s">
        <v>73</v>
      </c>
      <c r="D66" s="9"/>
      <c r="E66" s="11">
        <v>63414</v>
      </c>
      <c r="F66" s="11">
        <f t="shared" si="1"/>
        <v>-324408</v>
      </c>
    </row>
    <row r="67" spans="1:6" ht="30" x14ac:dyDescent="0.25">
      <c r="A67" s="8">
        <v>45610</v>
      </c>
      <c r="B67" s="9" t="s">
        <v>14</v>
      </c>
      <c r="C67" s="10" t="s">
        <v>74</v>
      </c>
      <c r="D67" s="9"/>
      <c r="E67" s="11">
        <v>160124</v>
      </c>
      <c r="F67" s="11">
        <f t="shared" si="1"/>
        <v>-484532</v>
      </c>
    </row>
    <row r="68" spans="1:6" ht="30" x14ac:dyDescent="0.25">
      <c r="A68" s="8">
        <v>45611</v>
      </c>
      <c r="B68" s="9" t="s">
        <v>12</v>
      </c>
      <c r="C68" s="10" t="s">
        <v>75</v>
      </c>
      <c r="D68" s="11">
        <v>60880</v>
      </c>
      <c r="E68" s="9"/>
      <c r="F68" s="11">
        <f t="shared" si="1"/>
        <v>-423652</v>
      </c>
    </row>
    <row r="69" spans="1:6" ht="30" x14ac:dyDescent="0.25">
      <c r="A69" s="8">
        <v>45612</v>
      </c>
      <c r="B69" s="9" t="s">
        <v>12</v>
      </c>
      <c r="C69" s="10" t="s">
        <v>76</v>
      </c>
      <c r="D69" s="11">
        <v>122716</v>
      </c>
      <c r="E69" s="9"/>
      <c r="F69" s="11">
        <f t="shared" si="1"/>
        <v>-300936</v>
      </c>
    </row>
    <row r="70" spans="1:6" ht="30" x14ac:dyDescent="0.25">
      <c r="A70" s="8">
        <v>45624</v>
      </c>
      <c r="B70" s="9" t="s">
        <v>14</v>
      </c>
      <c r="C70" s="10" t="s">
        <v>77</v>
      </c>
      <c r="D70" s="9"/>
      <c r="E70" s="11">
        <v>285860</v>
      </c>
      <c r="F70" s="11">
        <f t="shared" si="1"/>
        <v>-586796</v>
      </c>
    </row>
    <row r="71" spans="1:6" ht="30" x14ac:dyDescent="0.25">
      <c r="A71" s="8">
        <v>45624</v>
      </c>
      <c r="B71" s="9" t="s">
        <v>12</v>
      </c>
      <c r="C71" s="10" t="s">
        <v>78</v>
      </c>
      <c r="D71" s="11">
        <v>77398</v>
      </c>
      <c r="E71" s="9"/>
      <c r="F71" s="11">
        <f t="shared" si="1"/>
        <v>-509398</v>
      </c>
    </row>
    <row r="72" spans="1:6" ht="30" x14ac:dyDescent="0.25">
      <c r="A72" s="8">
        <v>45625</v>
      </c>
      <c r="B72" s="9" t="s">
        <v>14</v>
      </c>
      <c r="C72" s="10" t="s">
        <v>79</v>
      </c>
      <c r="D72" s="9"/>
      <c r="E72" s="11">
        <v>62856</v>
      </c>
      <c r="F72" s="11">
        <f t="shared" si="1"/>
        <v>-572254</v>
      </c>
    </row>
    <row r="73" spans="1:6" x14ac:dyDescent="0.25">
      <c r="A73" s="8">
        <v>45630</v>
      </c>
      <c r="B73" s="9" t="s">
        <v>14</v>
      </c>
      <c r="C73" s="10" t="s">
        <v>80</v>
      </c>
      <c r="D73" s="9"/>
      <c r="E73" s="11">
        <v>38876</v>
      </c>
      <c r="F73" s="11">
        <f t="shared" ref="F73:F104" si="2">SUM(F72+D73-E73)</f>
        <v>-611130</v>
      </c>
    </row>
    <row r="74" spans="1:6" x14ac:dyDescent="0.25">
      <c r="A74" s="8">
        <v>45630</v>
      </c>
      <c r="B74" s="9" t="s">
        <v>12</v>
      </c>
      <c r="C74" s="10" t="s">
        <v>81</v>
      </c>
      <c r="D74" s="11">
        <v>38876</v>
      </c>
      <c r="E74" s="9"/>
      <c r="F74" s="11">
        <f t="shared" si="2"/>
        <v>-572254</v>
      </c>
    </row>
    <row r="75" spans="1:6" ht="30" x14ac:dyDescent="0.25">
      <c r="A75" s="8">
        <v>45640</v>
      </c>
      <c r="B75" s="9" t="s">
        <v>14</v>
      </c>
      <c r="C75" s="10" t="s">
        <v>82</v>
      </c>
      <c r="D75" s="9"/>
      <c r="E75" s="11">
        <v>196297</v>
      </c>
      <c r="F75" s="11">
        <f t="shared" si="2"/>
        <v>-768551</v>
      </c>
    </row>
    <row r="76" spans="1:6" ht="30" x14ac:dyDescent="0.25">
      <c r="A76" s="8">
        <v>45644</v>
      </c>
      <c r="B76" s="9" t="s">
        <v>12</v>
      </c>
      <c r="C76" s="10" t="s">
        <v>83</v>
      </c>
      <c r="D76" s="11">
        <v>160124</v>
      </c>
      <c r="E76" s="9"/>
      <c r="F76" s="11">
        <f t="shared" si="2"/>
        <v>-608427</v>
      </c>
    </row>
    <row r="77" spans="1:6" ht="30" x14ac:dyDescent="0.25">
      <c r="A77" s="8">
        <v>45646</v>
      </c>
      <c r="B77" s="9" t="s">
        <v>12</v>
      </c>
      <c r="C77" s="10" t="s">
        <v>84</v>
      </c>
      <c r="D77" s="11">
        <v>126270</v>
      </c>
      <c r="E77" s="9"/>
      <c r="F77" s="11">
        <f t="shared" si="2"/>
        <v>-482157</v>
      </c>
    </row>
    <row r="78" spans="1:6" ht="30" x14ac:dyDescent="0.25">
      <c r="A78" s="8">
        <v>45647</v>
      </c>
      <c r="B78" s="9" t="s">
        <v>14</v>
      </c>
      <c r="C78" s="10" t="s">
        <v>85</v>
      </c>
      <c r="D78" s="9"/>
      <c r="E78" s="11">
        <v>58384</v>
      </c>
      <c r="F78" s="11">
        <f t="shared" si="2"/>
        <v>-540541</v>
      </c>
    </row>
    <row r="79" spans="1:6" ht="30" x14ac:dyDescent="0.25">
      <c r="A79" s="8">
        <v>45656</v>
      </c>
      <c r="B79" s="9" t="s">
        <v>14</v>
      </c>
      <c r="C79" s="10" t="s">
        <v>86</v>
      </c>
      <c r="D79" s="9"/>
      <c r="E79" s="11">
        <v>110540</v>
      </c>
      <c r="F79" s="11">
        <f t="shared" si="2"/>
        <v>-651081</v>
      </c>
    </row>
    <row r="80" spans="1:6" ht="30" x14ac:dyDescent="0.25">
      <c r="A80" s="8">
        <v>45661</v>
      </c>
      <c r="B80" s="9" t="s">
        <v>12</v>
      </c>
      <c r="C80" s="10" t="s">
        <v>87</v>
      </c>
      <c r="D80" s="11">
        <v>135860</v>
      </c>
      <c r="E80" s="9"/>
      <c r="F80" s="11">
        <f t="shared" si="2"/>
        <v>-515221</v>
      </c>
    </row>
    <row r="81" spans="1:6" ht="30" x14ac:dyDescent="0.25">
      <c r="A81" s="8">
        <v>45668</v>
      </c>
      <c r="B81" s="9" t="s">
        <v>14</v>
      </c>
      <c r="C81" s="10" t="s">
        <v>88</v>
      </c>
      <c r="D81" s="9"/>
      <c r="E81" s="11">
        <v>153961</v>
      </c>
      <c r="F81" s="11">
        <f t="shared" si="2"/>
        <v>-669182</v>
      </c>
    </row>
    <row r="82" spans="1:6" ht="45" x14ac:dyDescent="0.25">
      <c r="A82" s="8">
        <v>45670</v>
      </c>
      <c r="B82" s="9" t="s">
        <v>12</v>
      </c>
      <c r="C82" s="10" t="s">
        <v>89</v>
      </c>
      <c r="D82" s="11">
        <v>404681</v>
      </c>
      <c r="E82" s="9"/>
      <c r="F82" s="11">
        <f t="shared" si="2"/>
        <v>-264501</v>
      </c>
    </row>
    <row r="83" spans="1:6" x14ac:dyDescent="0.25">
      <c r="A83" s="8">
        <v>45684</v>
      </c>
      <c r="B83" s="9" t="s">
        <v>14</v>
      </c>
      <c r="C83" s="10" t="s">
        <v>90</v>
      </c>
      <c r="D83" s="9"/>
      <c r="E83" s="11">
        <v>53962</v>
      </c>
      <c r="F83" s="11">
        <f t="shared" si="2"/>
        <v>-318463</v>
      </c>
    </row>
    <row r="84" spans="1:6" ht="30" x14ac:dyDescent="0.25">
      <c r="A84" s="8">
        <v>45685</v>
      </c>
      <c r="B84" s="9" t="s">
        <v>14</v>
      </c>
      <c r="C84" s="10" t="s">
        <v>91</v>
      </c>
      <c r="D84" s="9"/>
      <c r="E84" s="11">
        <v>78622</v>
      </c>
      <c r="F84" s="11">
        <f t="shared" si="2"/>
        <v>-397085</v>
      </c>
    </row>
    <row r="85" spans="1:6" x14ac:dyDescent="0.25">
      <c r="A85" s="8">
        <v>45685</v>
      </c>
      <c r="B85" s="9" t="s">
        <v>12</v>
      </c>
      <c r="C85" s="10" t="s">
        <v>92</v>
      </c>
      <c r="D85" s="11">
        <v>53962</v>
      </c>
      <c r="E85" s="9"/>
      <c r="F85" s="11">
        <f t="shared" si="2"/>
        <v>-343123</v>
      </c>
    </row>
    <row r="86" spans="1:6" ht="30" x14ac:dyDescent="0.25">
      <c r="A86" s="8">
        <v>45686</v>
      </c>
      <c r="B86" s="9" t="s">
        <v>14</v>
      </c>
      <c r="C86" s="10" t="s">
        <v>93</v>
      </c>
      <c r="D86" s="9"/>
      <c r="E86" s="11">
        <v>95011</v>
      </c>
      <c r="F86" s="11">
        <f t="shared" si="2"/>
        <v>-438134</v>
      </c>
    </row>
    <row r="87" spans="1:6" ht="30" x14ac:dyDescent="0.25">
      <c r="A87" s="8">
        <v>45687</v>
      </c>
      <c r="B87" s="9" t="s">
        <v>14</v>
      </c>
      <c r="C87" s="10" t="s">
        <v>94</v>
      </c>
      <c r="D87" s="9"/>
      <c r="E87" s="11">
        <v>146965</v>
      </c>
      <c r="F87" s="11">
        <f t="shared" si="2"/>
        <v>-585099</v>
      </c>
    </row>
    <row r="88" spans="1:6" ht="30" x14ac:dyDescent="0.25">
      <c r="A88" s="8">
        <v>45695</v>
      </c>
      <c r="B88" s="9" t="s">
        <v>12</v>
      </c>
      <c r="C88" s="10" t="s">
        <v>95</v>
      </c>
      <c r="D88" s="11">
        <v>110540</v>
      </c>
      <c r="E88" s="9"/>
      <c r="F88" s="11">
        <f t="shared" si="2"/>
        <v>-474559</v>
      </c>
    </row>
    <row r="89" spans="1:6" ht="30" x14ac:dyDescent="0.25">
      <c r="A89" s="8">
        <v>45702</v>
      </c>
      <c r="B89" s="9" t="s">
        <v>14</v>
      </c>
      <c r="C89" s="10" t="s">
        <v>96</v>
      </c>
      <c r="D89" s="9"/>
      <c r="E89" s="11">
        <v>206212</v>
      </c>
      <c r="F89" s="11">
        <f t="shared" si="2"/>
        <v>-680771</v>
      </c>
    </row>
    <row r="90" spans="1:6" x14ac:dyDescent="0.25">
      <c r="A90" s="8">
        <v>45705</v>
      </c>
      <c r="B90" s="9" t="s">
        <v>14</v>
      </c>
      <c r="C90" s="10" t="s">
        <v>97</v>
      </c>
      <c r="D90" s="9"/>
      <c r="E90" s="11">
        <v>46439</v>
      </c>
      <c r="F90" s="11">
        <f t="shared" si="2"/>
        <v>-727210</v>
      </c>
    </row>
    <row r="91" spans="1:6" x14ac:dyDescent="0.25">
      <c r="A91" s="8">
        <v>45706</v>
      </c>
      <c r="B91" s="9" t="s">
        <v>12</v>
      </c>
      <c r="C91" s="10" t="s">
        <v>98</v>
      </c>
      <c r="D91" s="11">
        <v>46439</v>
      </c>
      <c r="E91" s="9"/>
      <c r="F91" s="11">
        <f t="shared" si="2"/>
        <v>-680771</v>
      </c>
    </row>
    <row r="92" spans="1:6" ht="30" x14ac:dyDescent="0.25">
      <c r="A92" s="8">
        <v>45715</v>
      </c>
      <c r="B92" s="9" t="s">
        <v>14</v>
      </c>
      <c r="C92" s="10" t="s">
        <v>99</v>
      </c>
      <c r="D92" s="9"/>
      <c r="E92" s="11">
        <v>46761</v>
      </c>
      <c r="F92" s="11">
        <f t="shared" si="2"/>
        <v>-727532</v>
      </c>
    </row>
    <row r="93" spans="1:6" ht="30" x14ac:dyDescent="0.25">
      <c r="A93" s="8">
        <v>45715</v>
      </c>
      <c r="B93" s="9" t="s">
        <v>14</v>
      </c>
      <c r="C93" s="10" t="s">
        <v>100</v>
      </c>
      <c r="D93" s="9"/>
      <c r="E93" s="11">
        <v>18762</v>
      </c>
      <c r="F93" s="11">
        <f t="shared" si="2"/>
        <v>-746294</v>
      </c>
    </row>
    <row r="94" spans="1:6" ht="30" x14ac:dyDescent="0.25">
      <c r="A94" s="8">
        <v>45716</v>
      </c>
      <c r="B94" s="9" t="s">
        <v>12</v>
      </c>
      <c r="C94" s="10" t="s">
        <v>101</v>
      </c>
      <c r="D94" s="11">
        <v>153961</v>
      </c>
      <c r="E94" s="9"/>
      <c r="F94" s="11">
        <f t="shared" si="2"/>
        <v>-592333</v>
      </c>
    </row>
    <row r="95" spans="1:6" ht="30" x14ac:dyDescent="0.25">
      <c r="A95" s="8">
        <v>45722</v>
      </c>
      <c r="B95" s="9" t="s">
        <v>12</v>
      </c>
      <c r="C95" s="10" t="s">
        <v>102</v>
      </c>
      <c r="D95" s="11">
        <v>146965</v>
      </c>
      <c r="E95" s="9"/>
      <c r="F95" s="11">
        <f t="shared" si="2"/>
        <v>-445368</v>
      </c>
    </row>
    <row r="96" spans="1:6" ht="30" x14ac:dyDescent="0.25">
      <c r="A96" s="8">
        <v>45723</v>
      </c>
      <c r="B96" s="9" t="s">
        <v>14</v>
      </c>
      <c r="C96" s="10" t="s">
        <v>103</v>
      </c>
      <c r="D96" s="9"/>
      <c r="E96" s="11">
        <v>103530</v>
      </c>
      <c r="F96" s="11">
        <f t="shared" si="2"/>
        <v>-548898</v>
      </c>
    </row>
    <row r="97" spans="1:6" ht="30" x14ac:dyDescent="0.25">
      <c r="A97" s="8">
        <v>45724</v>
      </c>
      <c r="B97" s="9" t="s">
        <v>14</v>
      </c>
      <c r="C97" s="10" t="s">
        <v>104</v>
      </c>
      <c r="D97" s="9"/>
      <c r="E97" s="11">
        <v>32678</v>
      </c>
      <c r="F97" s="11">
        <f t="shared" si="2"/>
        <v>-581576</v>
      </c>
    </row>
    <row r="98" spans="1:6" x14ac:dyDescent="0.25">
      <c r="A98" s="8">
        <v>45726</v>
      </c>
      <c r="B98" s="9" t="s">
        <v>12</v>
      </c>
      <c r="C98" s="10" t="s">
        <v>105</v>
      </c>
      <c r="D98" s="11">
        <v>32678</v>
      </c>
      <c r="E98" s="9"/>
      <c r="F98" s="11">
        <f t="shared" si="2"/>
        <v>-548898</v>
      </c>
    </row>
    <row r="99" spans="1:6" ht="30" x14ac:dyDescent="0.25">
      <c r="A99" s="8">
        <v>45730</v>
      </c>
      <c r="B99" s="9" t="s">
        <v>14</v>
      </c>
      <c r="C99" s="10" t="s">
        <v>106</v>
      </c>
      <c r="D99" s="9"/>
      <c r="E99" s="11">
        <v>10190</v>
      </c>
      <c r="F99" s="11">
        <f t="shared" si="2"/>
        <v>-559088</v>
      </c>
    </row>
    <row r="100" spans="1:6" x14ac:dyDescent="0.25">
      <c r="A100" s="8">
        <v>45730</v>
      </c>
      <c r="B100" s="9" t="s">
        <v>14</v>
      </c>
      <c r="C100" s="10" t="s">
        <v>107</v>
      </c>
      <c r="D100" s="9"/>
      <c r="E100" s="11">
        <v>17181</v>
      </c>
      <c r="F100" s="11">
        <f t="shared" si="2"/>
        <v>-576269</v>
      </c>
    </row>
    <row r="101" spans="1:6" x14ac:dyDescent="0.25">
      <c r="A101" s="8">
        <v>45731</v>
      </c>
      <c r="B101" s="9" t="s">
        <v>12</v>
      </c>
      <c r="C101" s="10" t="s">
        <v>108</v>
      </c>
      <c r="D101" s="11">
        <v>17181</v>
      </c>
      <c r="E101" s="9"/>
      <c r="F101" s="11">
        <f t="shared" si="2"/>
        <v>-559088</v>
      </c>
    </row>
    <row r="102" spans="1:6" ht="30" x14ac:dyDescent="0.25">
      <c r="A102" s="8">
        <v>45734</v>
      </c>
      <c r="B102" s="9" t="s">
        <v>14</v>
      </c>
      <c r="C102" s="10" t="s">
        <v>109</v>
      </c>
      <c r="D102" s="9"/>
      <c r="E102" s="11">
        <v>2720</v>
      </c>
      <c r="F102" s="11">
        <f t="shared" si="2"/>
        <v>-561808</v>
      </c>
    </row>
    <row r="103" spans="1:6" ht="30" x14ac:dyDescent="0.25">
      <c r="A103" s="8">
        <v>45737</v>
      </c>
      <c r="B103" s="9" t="s">
        <v>14</v>
      </c>
      <c r="C103" s="10" t="s">
        <v>110</v>
      </c>
      <c r="D103" s="9"/>
      <c r="E103" s="11">
        <v>114994</v>
      </c>
      <c r="F103" s="11">
        <f t="shared" si="2"/>
        <v>-676802</v>
      </c>
    </row>
    <row r="104" spans="1:6" ht="30" x14ac:dyDescent="0.25">
      <c r="A104" s="8">
        <v>45737</v>
      </c>
      <c r="B104" s="9" t="s">
        <v>12</v>
      </c>
      <c r="C104" s="10" t="s">
        <v>111</v>
      </c>
      <c r="D104" s="11">
        <v>173633</v>
      </c>
      <c r="E104" s="9"/>
      <c r="F104" s="11">
        <f t="shared" si="2"/>
        <v>-503169</v>
      </c>
    </row>
    <row r="105" spans="1:6" ht="30" x14ac:dyDescent="0.25">
      <c r="A105" s="8">
        <v>45745</v>
      </c>
      <c r="B105" s="9" t="s">
        <v>12</v>
      </c>
      <c r="C105" s="10" t="s">
        <v>112</v>
      </c>
      <c r="D105" s="11">
        <v>206212</v>
      </c>
      <c r="E105" s="9"/>
      <c r="F105" s="11">
        <f t="shared" ref="F105" si="3">SUM(F104+D105-E105)</f>
        <v>-296957</v>
      </c>
    </row>
    <row r="106" spans="1:6" x14ac:dyDescent="0.25">
      <c r="A106" s="12"/>
      <c r="B106" s="12"/>
      <c r="C106" s="12" t="s">
        <v>113</v>
      </c>
      <c r="D106" s="13">
        <f>SUM(D8:D105)</f>
        <v>5012502</v>
      </c>
      <c r="E106" s="13">
        <f>SUM(E8:E105)</f>
        <v>5309459</v>
      </c>
      <c r="F106" s="13">
        <f>SUM(D106-E106)</f>
        <v>-296957</v>
      </c>
    </row>
    <row r="107" spans="1:6" ht="15.75" x14ac:dyDescent="0.25">
      <c r="A107" s="2" t="s">
        <v>5</v>
      </c>
      <c r="B107" s="2"/>
      <c r="C107" s="2"/>
      <c r="D107" s="2"/>
      <c r="E107" s="2"/>
      <c r="F107" s="2"/>
    </row>
  </sheetData>
  <mergeCells count="7">
    <mergeCell ref="A6:F6"/>
    <mergeCell ref="A107:F107"/>
    <mergeCell ref="A1:F1"/>
    <mergeCell ref="A2:F2"/>
    <mergeCell ref="A3:F3"/>
    <mergeCell ref="A4:F4"/>
    <mergeCell ref="A5:F5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2025-10-05T12:58:54Z</dcterms:created>
  <dcterms:modified xsi:type="dcterms:W3CDTF">2025-10-05T12:59:29Z</dcterms:modified>
</cp:coreProperties>
</file>